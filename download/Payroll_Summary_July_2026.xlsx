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A5F"/>
      <sz val="10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4"/>
      </patternFill>
    </fill>
    <fill>
      <patternFill patternType="solid">
        <fgColor rgb="00FAF5E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8" customWidth="1" min="8" max="8"/>
    <col width="13" customWidth="1" min="9" max="9"/>
    <col width="11" customWidth="1" min="10" max="10"/>
    <col width="14" customWidth="1" min="11" max="11"/>
    <col width="11" customWidth="1" min="12" max="12"/>
    <col width="13" customWidth="1" min="13" max="13"/>
    <col width="14" customWidth="1" min="14" max="14"/>
  </cols>
  <sheetData>
    <row r="1" ht="30" customHeight="1">
      <c r="A1" s="1" t="inlineStr">
        <is>
          <t>LAXREE GROUP OF COMPANIES</t>
        </is>
      </c>
    </row>
    <row r="2" ht="20" customHeight="1">
      <c r="A2" s="2" t="inlineStr">
        <is>
          <t>Payroll Register — July 2026</t>
        </is>
      </c>
    </row>
    <row r="3" ht="18" customHeight="1">
      <c r="A3" s="3" t="inlineStr">
        <is>
          <t>Days in Month: 31  |  Sundays: 4  |  Holidays: 0  |  Working Days: 27  |  Total Employees: 42</t>
        </is>
      </c>
    </row>
    <row r="4" ht="38" customHeight="1">
      <c r="A4" s="4" t="inlineStr">
        <is>
          <t>S.No</t>
        </is>
      </c>
      <c r="B4" s="4" t="inlineStr">
        <is>
          <t>Employee Name</t>
        </is>
      </c>
      <c r="C4" s="4" t="inlineStr">
        <is>
          <t>Monthly Salary</t>
        </is>
      </c>
      <c r="D4" s="4" t="inlineStr">
        <is>
          <t>Working Hrs</t>
        </is>
      </c>
      <c r="E4" s="4" t="inlineStr">
        <is>
          <t>Sl/Hr</t>
        </is>
      </c>
      <c r="F4" s="4" t="inlineStr">
        <is>
          <t>Present Days</t>
        </is>
      </c>
      <c r="G4" s="4" t="inlineStr">
        <is>
          <t>Absent Days</t>
        </is>
      </c>
      <c r="H4" s="4" t="inlineStr">
        <is>
          <t>Worked Hrs including OT</t>
        </is>
      </c>
      <c r="I4" s="4" t="inlineStr">
        <is>
          <t>Additional hrs</t>
        </is>
      </c>
      <c r="J4" s="4" t="inlineStr">
        <is>
          <t>Total Hrs</t>
        </is>
      </c>
      <c r="K4" s="4" t="inlineStr">
        <is>
          <t>Gross Salary</t>
        </is>
      </c>
      <c r="L4" s="4" t="inlineStr">
        <is>
          <t>SD Refund</t>
        </is>
      </c>
      <c r="M4" s="4" t="inlineStr">
        <is>
          <t>Salary Advance</t>
        </is>
      </c>
      <c r="N4" s="4" t="inlineStr">
        <is>
          <t>Net Salary</t>
        </is>
      </c>
    </row>
    <row r="5">
      <c r="A5" s="5" t="n">
        <v>1</v>
      </c>
      <c r="B5" s="6" t="inlineStr">
        <is>
          <t>Ashish</t>
        </is>
      </c>
      <c r="C5" s="7" t="n">
        <v>25000</v>
      </c>
      <c r="D5" s="5" t="n">
        <v>9</v>
      </c>
      <c r="E5" s="8">
        <f>C5/(31*D5)</f>
        <v/>
      </c>
      <c r="F5" s="5" t="n">
        <v>11</v>
      </c>
      <c r="G5" s="5" t="n">
        <v>16</v>
      </c>
      <c r="H5" s="5" t="inlineStr">
        <is>
          <t>97:55</t>
        </is>
      </c>
      <c r="I5" s="5" t="inlineStr">
        <is>
          <t>36:00</t>
        </is>
      </c>
      <c r="J5" s="9" t="n">
        <v>133.92</v>
      </c>
      <c r="K5" s="10">
        <f>J5*E5</f>
        <v/>
      </c>
      <c r="L5" s="11" t="n">
        <v>0</v>
      </c>
      <c r="M5" s="11" t="n">
        <v>0</v>
      </c>
      <c r="N5" s="10">
        <f>K5-L5-M5</f>
        <v/>
      </c>
    </row>
    <row r="6">
      <c r="A6" s="12" t="n">
        <v>2</v>
      </c>
      <c r="B6" s="13" t="inlineStr">
        <is>
          <t>Chaitanaya</t>
        </is>
      </c>
      <c r="C6" s="14" t="n">
        <v>25000</v>
      </c>
      <c r="D6" s="12" t="n">
        <v>9</v>
      </c>
      <c r="E6" s="15">
        <f>C6/(31*D6)</f>
        <v/>
      </c>
      <c r="F6" s="12" t="n">
        <v>11</v>
      </c>
      <c r="G6" s="12" t="n">
        <v>16</v>
      </c>
      <c r="H6" s="12" t="inlineStr">
        <is>
          <t>101:47</t>
        </is>
      </c>
      <c r="I6" s="12" t="inlineStr">
        <is>
          <t>36:00</t>
        </is>
      </c>
      <c r="J6" s="16" t="n">
        <v>137.78</v>
      </c>
      <c r="K6" s="17">
        <f>J6*E6</f>
        <v/>
      </c>
      <c r="L6" s="18" t="n">
        <v>0</v>
      </c>
      <c r="M6" s="18" t="n">
        <v>0</v>
      </c>
      <c r="N6" s="17">
        <f>K6-L6-M6</f>
        <v/>
      </c>
    </row>
    <row r="7">
      <c r="A7" s="5" t="n">
        <v>3</v>
      </c>
      <c r="B7" s="6" t="inlineStr">
        <is>
          <t>HONEY JAIN</t>
        </is>
      </c>
      <c r="C7" s="7" t="n">
        <v>18000</v>
      </c>
      <c r="D7" s="5" t="n">
        <v>9</v>
      </c>
      <c r="E7" s="8">
        <f>C7/(31*D7)</f>
        <v/>
      </c>
      <c r="F7" s="5" t="n">
        <v>0</v>
      </c>
      <c r="G7" s="5" t="n">
        <v>27</v>
      </c>
      <c r="H7" s="5" t="inlineStr">
        <is>
          <t>0:00</t>
        </is>
      </c>
      <c r="I7" s="5" t="inlineStr">
        <is>
          <t>36:00</t>
        </is>
      </c>
      <c r="J7" s="9" t="n">
        <v>36</v>
      </c>
      <c r="K7" s="10">
        <f>J7*E7</f>
        <v/>
      </c>
      <c r="L7" s="11" t="n">
        <v>0</v>
      </c>
      <c r="M7" s="11" t="n">
        <v>0</v>
      </c>
      <c r="N7" s="10">
        <f>K7-L7-M7</f>
        <v/>
      </c>
    </row>
    <row r="8">
      <c r="A8" s="12" t="n">
        <v>4</v>
      </c>
      <c r="B8" s="13" t="inlineStr">
        <is>
          <t>Kamlesh Prajapati</t>
        </is>
      </c>
      <c r="C8" s="14" t="n">
        <v>19000</v>
      </c>
      <c r="D8" s="12" t="n">
        <v>9</v>
      </c>
      <c r="E8" s="15">
        <f>C8/(31*D8)</f>
        <v/>
      </c>
      <c r="F8" s="12" t="n">
        <v>24</v>
      </c>
      <c r="G8" s="12" t="n">
        <v>3</v>
      </c>
      <c r="H8" s="12" t="inlineStr">
        <is>
          <t>216:04</t>
        </is>
      </c>
      <c r="I8" s="12" t="inlineStr">
        <is>
          <t>36:00</t>
        </is>
      </c>
      <c r="J8" s="16" t="n">
        <v>252.07</v>
      </c>
      <c r="K8" s="17">
        <f>J8*E8</f>
        <v/>
      </c>
      <c r="L8" s="18" t="n">
        <v>0</v>
      </c>
      <c r="M8" s="18" t="n">
        <v>0</v>
      </c>
      <c r="N8" s="17">
        <f>K8-L8-M8</f>
        <v/>
      </c>
    </row>
    <row r="9">
      <c r="A9" s="5" t="n">
        <v>5</v>
      </c>
      <c r="B9" s="6" t="inlineStr">
        <is>
          <t>Kanishka Devnath</t>
        </is>
      </c>
      <c r="C9" s="7" t="n">
        <v>18000</v>
      </c>
      <c r="D9" s="5" t="n">
        <v>9</v>
      </c>
      <c r="E9" s="8">
        <f>C9/(31*D9)</f>
        <v/>
      </c>
      <c r="F9" s="5" t="n">
        <v>13</v>
      </c>
      <c r="G9" s="5" t="n">
        <v>14</v>
      </c>
      <c r="H9" s="5" t="inlineStr">
        <is>
          <t>114:37</t>
        </is>
      </c>
      <c r="I9" s="5" t="inlineStr">
        <is>
          <t>36:00</t>
        </is>
      </c>
      <c r="J9" s="9" t="n">
        <v>150.62</v>
      </c>
      <c r="K9" s="10">
        <f>J9*E9</f>
        <v/>
      </c>
      <c r="L9" s="11" t="n">
        <v>0</v>
      </c>
      <c r="M9" s="11" t="n">
        <v>0</v>
      </c>
      <c r="N9" s="10">
        <f>K9-L9-M9</f>
        <v/>
      </c>
    </row>
    <row r="10">
      <c r="A10" s="12" t="n">
        <v>6</v>
      </c>
      <c r="B10" s="13" t="inlineStr">
        <is>
          <t>Khushi</t>
        </is>
      </c>
      <c r="C10" s="14" t="n">
        <v>15000</v>
      </c>
      <c r="D10" s="12" t="n">
        <v>9</v>
      </c>
      <c r="E10" s="15">
        <f>C10/(31*D10)</f>
        <v/>
      </c>
      <c r="F10" s="12" t="n">
        <v>3</v>
      </c>
      <c r="G10" s="12" t="n">
        <v>24</v>
      </c>
      <c r="H10" s="12" t="inlineStr">
        <is>
          <t>27:07</t>
        </is>
      </c>
      <c r="I10" s="12" t="inlineStr">
        <is>
          <t>36:00</t>
        </is>
      </c>
      <c r="J10" s="16" t="n">
        <v>63.12</v>
      </c>
      <c r="K10" s="17">
        <f>J10*E10</f>
        <v/>
      </c>
      <c r="L10" s="18" t="n">
        <v>0</v>
      </c>
      <c r="M10" s="18" t="n">
        <v>0</v>
      </c>
      <c r="N10" s="17">
        <f>K10-L10-M10</f>
        <v/>
      </c>
    </row>
    <row r="11">
      <c r="A11" s="5" t="n">
        <v>7</v>
      </c>
      <c r="B11" s="6" t="inlineStr">
        <is>
          <t>Kulvinder Singh Lamba</t>
        </is>
      </c>
      <c r="C11" s="7" t="n">
        <v>75000</v>
      </c>
      <c r="D11" s="5" t="n">
        <v>9</v>
      </c>
      <c r="E11" s="8">
        <f>C11/(31*D11)</f>
        <v/>
      </c>
      <c r="F11" s="5" t="n">
        <v>24</v>
      </c>
      <c r="G11" s="5" t="n">
        <v>2</v>
      </c>
      <c r="H11" s="5" t="inlineStr">
        <is>
          <t>215:30</t>
        </is>
      </c>
      <c r="I11" s="5" t="inlineStr">
        <is>
          <t>36:00</t>
        </is>
      </c>
      <c r="J11" s="9" t="n">
        <v>251.5</v>
      </c>
      <c r="K11" s="10">
        <f>J11*E11</f>
        <v/>
      </c>
      <c r="L11" s="11" t="n">
        <v>0</v>
      </c>
      <c r="M11" s="11" t="n">
        <v>0</v>
      </c>
      <c r="N11" s="10">
        <f>K11-L11-M11</f>
        <v/>
      </c>
    </row>
    <row r="12">
      <c r="A12" s="12" t="n">
        <v>8</v>
      </c>
      <c r="B12" s="13" t="inlineStr">
        <is>
          <t>Manish Rawat</t>
        </is>
      </c>
      <c r="C12" s="14" t="n">
        <v>0</v>
      </c>
      <c r="D12" s="12" t="n">
        <v>10</v>
      </c>
      <c r="E12" s="15">
        <f>C12/(31*D12)</f>
        <v/>
      </c>
      <c r="F12" s="12" t="n">
        <v>25</v>
      </c>
      <c r="G12" s="12" t="n">
        <v>2</v>
      </c>
      <c r="H12" s="12" t="inlineStr">
        <is>
          <t>244:29</t>
        </is>
      </c>
      <c r="I12" s="12" t="inlineStr">
        <is>
          <t>40:00</t>
        </is>
      </c>
      <c r="J12" s="16" t="n">
        <v>284.48</v>
      </c>
      <c r="K12" s="17">
        <f>J12*E12</f>
        <v/>
      </c>
      <c r="L12" s="18" t="n">
        <v>0</v>
      </c>
      <c r="M12" s="18" t="n">
        <v>0</v>
      </c>
      <c r="N12" s="17">
        <f>K12-L12-M12</f>
        <v/>
      </c>
    </row>
    <row r="13">
      <c r="A13" s="5" t="n">
        <v>9</v>
      </c>
      <c r="B13" s="6" t="inlineStr">
        <is>
          <t>Priyanka Sharma</t>
        </is>
      </c>
      <c r="C13" s="7" t="n">
        <v>12000</v>
      </c>
      <c r="D13" s="5" t="n">
        <v>9</v>
      </c>
      <c r="E13" s="8">
        <f>C13/(31*D13)</f>
        <v/>
      </c>
      <c r="F13" s="5" t="n">
        <v>0</v>
      </c>
      <c r="G13" s="5" t="n">
        <v>27</v>
      </c>
      <c r="H13" s="5" t="inlineStr">
        <is>
          <t>0:00</t>
        </is>
      </c>
      <c r="I13" s="5" t="inlineStr">
        <is>
          <t>36:00</t>
        </is>
      </c>
      <c r="J13" s="9" t="n">
        <v>36</v>
      </c>
      <c r="K13" s="10">
        <f>J13*E13</f>
        <v/>
      </c>
      <c r="L13" s="11" t="n">
        <v>0</v>
      </c>
      <c r="M13" s="11" t="n">
        <v>0</v>
      </c>
      <c r="N13" s="10">
        <f>K13-L13-M13</f>
        <v/>
      </c>
    </row>
    <row r="14">
      <c r="A14" s="12" t="n">
        <v>10</v>
      </c>
      <c r="B14" s="13" t="inlineStr">
        <is>
          <t>Ranveer Singh</t>
        </is>
      </c>
      <c r="C14" s="14" t="n">
        <v>15000</v>
      </c>
      <c r="D14" s="12" t="n">
        <v>9</v>
      </c>
      <c r="E14" s="15">
        <f>C14/(31*D14)</f>
        <v/>
      </c>
      <c r="F14" s="12" t="n">
        <v>24</v>
      </c>
      <c r="G14" s="12" t="n">
        <v>2</v>
      </c>
      <c r="H14" s="12" t="inlineStr">
        <is>
          <t>211:14</t>
        </is>
      </c>
      <c r="I14" s="12" t="inlineStr">
        <is>
          <t>36:00</t>
        </is>
      </c>
      <c r="J14" s="16" t="n">
        <v>247.23</v>
      </c>
      <c r="K14" s="17">
        <f>J14*E14</f>
        <v/>
      </c>
      <c r="L14" s="18" t="n">
        <v>0</v>
      </c>
      <c r="M14" s="18" t="n">
        <v>0</v>
      </c>
      <c r="N14" s="17">
        <f>K14-L14-M14</f>
        <v/>
      </c>
    </row>
    <row r="15">
      <c r="A15" s="5" t="n">
        <v>11</v>
      </c>
      <c r="B15" s="6" t="inlineStr">
        <is>
          <t>Saurabh Jangid</t>
        </is>
      </c>
      <c r="C15" s="7" t="n">
        <v>22600</v>
      </c>
      <c r="D15" s="5" t="n">
        <v>9</v>
      </c>
      <c r="E15" s="8">
        <f>C15/(31*D15)</f>
        <v/>
      </c>
      <c r="F15" s="5" t="n">
        <v>21</v>
      </c>
      <c r="G15" s="5" t="n">
        <v>5</v>
      </c>
      <c r="H15" s="5" t="inlineStr">
        <is>
          <t>184:58</t>
        </is>
      </c>
      <c r="I15" s="5" t="inlineStr">
        <is>
          <t>36:00</t>
        </is>
      </c>
      <c r="J15" s="9" t="n">
        <v>220.97</v>
      </c>
      <c r="K15" s="10">
        <f>J15*E15</f>
        <v/>
      </c>
      <c r="L15" s="11" t="n">
        <v>0</v>
      </c>
      <c r="M15" s="11" t="n">
        <v>0</v>
      </c>
      <c r="N15" s="10">
        <f>K15-L15-M15</f>
        <v/>
      </c>
    </row>
    <row r="16">
      <c r="A16" s="12" t="n">
        <v>12</v>
      </c>
      <c r="B16" s="13" t="inlineStr">
        <is>
          <t>Soma Gupta</t>
        </is>
      </c>
      <c r="C16" s="14" t="n">
        <v>25000</v>
      </c>
      <c r="D16" s="12" t="n">
        <v>9</v>
      </c>
      <c r="E16" s="15">
        <f>C16/(31*D16)</f>
        <v/>
      </c>
      <c r="F16" s="12" t="n">
        <v>22</v>
      </c>
      <c r="G16" s="12" t="n">
        <v>3</v>
      </c>
      <c r="H16" s="12" t="inlineStr">
        <is>
          <t>205:04</t>
        </is>
      </c>
      <c r="I16" s="12" t="inlineStr">
        <is>
          <t>36:00</t>
        </is>
      </c>
      <c r="J16" s="16" t="n">
        <v>241.07</v>
      </c>
      <c r="K16" s="17">
        <f>J16*E16</f>
        <v/>
      </c>
      <c r="L16" s="18" t="n">
        <v>0</v>
      </c>
      <c r="M16" s="18" t="n">
        <v>0</v>
      </c>
      <c r="N16" s="17">
        <f>K16-L16-M16</f>
        <v/>
      </c>
    </row>
    <row r="17">
      <c r="A17" s="5" t="n">
        <v>13</v>
      </c>
      <c r="B17" s="6" t="inlineStr">
        <is>
          <t>Tarachand Rawat</t>
        </is>
      </c>
      <c r="C17" s="7" t="n">
        <v>15500</v>
      </c>
      <c r="D17" s="5" t="n">
        <v>10</v>
      </c>
      <c r="E17" s="8">
        <f>C17/(31*D17)</f>
        <v/>
      </c>
      <c r="F17" s="5" t="n">
        <v>24</v>
      </c>
      <c r="G17" s="5" t="n">
        <v>2</v>
      </c>
      <c r="H17" s="5" t="inlineStr">
        <is>
          <t>241:17</t>
        </is>
      </c>
      <c r="I17" s="5" t="inlineStr">
        <is>
          <t>40:00</t>
        </is>
      </c>
      <c r="J17" s="9" t="n">
        <v>281.28</v>
      </c>
      <c r="K17" s="10">
        <f>J17*E17</f>
        <v/>
      </c>
      <c r="L17" s="11" t="n">
        <v>0</v>
      </c>
      <c r="M17" s="11" t="n">
        <v>0</v>
      </c>
      <c r="N17" s="10">
        <f>K17-L17-M17</f>
        <v/>
      </c>
    </row>
    <row r="18">
      <c r="A18" s="12" t="n">
        <v>14</v>
      </c>
      <c r="B18" s="13" t="inlineStr">
        <is>
          <t>Ugam</t>
        </is>
      </c>
      <c r="C18" s="14" t="n">
        <v>18000</v>
      </c>
      <c r="D18" s="12" t="n">
        <v>10</v>
      </c>
      <c r="E18" s="15">
        <f>C18/(31*D18)</f>
        <v/>
      </c>
      <c r="F18" s="12" t="n">
        <v>25</v>
      </c>
      <c r="G18" s="12" t="n">
        <v>2</v>
      </c>
      <c r="H18" s="12" t="inlineStr">
        <is>
          <t>244:16</t>
        </is>
      </c>
      <c r="I18" s="12" t="inlineStr">
        <is>
          <t>40:00</t>
        </is>
      </c>
      <c r="J18" s="16" t="n">
        <v>284.27</v>
      </c>
      <c r="K18" s="17">
        <f>J18*E18</f>
        <v/>
      </c>
      <c r="L18" s="18" t="n">
        <v>0</v>
      </c>
      <c r="M18" s="18" t="n">
        <v>0</v>
      </c>
      <c r="N18" s="17">
        <f>K18-L18-M18</f>
        <v/>
      </c>
    </row>
    <row r="19">
      <c r="A19" s="5" t="n">
        <v>15</v>
      </c>
      <c r="B19" s="6" t="inlineStr">
        <is>
          <t>nandini nayak</t>
        </is>
      </c>
      <c r="C19" s="7" t="n">
        <v>12000</v>
      </c>
      <c r="D19" s="5" t="n">
        <v>9</v>
      </c>
      <c r="E19" s="8">
        <f>C19/(31*D19)</f>
        <v/>
      </c>
      <c r="F19" s="5" t="n">
        <v>0</v>
      </c>
      <c r="G19" s="5" t="n">
        <v>27</v>
      </c>
      <c r="H19" s="5" t="inlineStr">
        <is>
          <t>0:00</t>
        </is>
      </c>
      <c r="I19" s="5" t="inlineStr">
        <is>
          <t>36:00</t>
        </is>
      </c>
      <c r="J19" s="9" t="n">
        <v>36</v>
      </c>
      <c r="K19" s="10">
        <f>J19*E19</f>
        <v/>
      </c>
      <c r="L19" s="11" t="n">
        <v>0</v>
      </c>
      <c r="M19" s="11" t="n">
        <v>0</v>
      </c>
      <c r="N19" s="10">
        <f>K19-L19-M19</f>
        <v/>
      </c>
    </row>
    <row r="20">
      <c r="A20" s="12" t="n">
        <v>16</v>
      </c>
      <c r="B20" s="13" t="inlineStr">
        <is>
          <t>Anil</t>
        </is>
      </c>
      <c r="C20" s="14" t="n">
        <v>13950</v>
      </c>
      <c r="D20" s="12" t="n">
        <v>9</v>
      </c>
      <c r="E20" s="15">
        <f>C20/(31*D20)</f>
        <v/>
      </c>
      <c r="F20" s="12" t="n">
        <v>16</v>
      </c>
      <c r="G20" s="12" t="n">
        <v>11</v>
      </c>
      <c r="H20" s="12" t="inlineStr">
        <is>
          <t>143:19</t>
        </is>
      </c>
      <c r="I20" s="12" t="inlineStr">
        <is>
          <t>36:00</t>
        </is>
      </c>
      <c r="J20" s="16" t="n">
        <v>179.32</v>
      </c>
      <c r="K20" s="17">
        <f>J20*E20</f>
        <v/>
      </c>
      <c r="L20" s="18" t="n">
        <v>0</v>
      </c>
      <c r="M20" s="18" t="n">
        <v>0</v>
      </c>
      <c r="N20" s="17">
        <f>K20-L20-M20</f>
        <v/>
      </c>
    </row>
    <row r="21">
      <c r="A21" s="5" t="n">
        <v>17</v>
      </c>
      <c r="B21" s="6" t="inlineStr">
        <is>
          <t>Arjun Udaywal</t>
        </is>
      </c>
      <c r="C21" s="7" t="n">
        <v>23000</v>
      </c>
      <c r="D21" s="5" t="n">
        <v>9</v>
      </c>
      <c r="E21" s="8">
        <f>C21/(31*D21)</f>
        <v/>
      </c>
      <c r="F21" s="5" t="n">
        <v>27</v>
      </c>
      <c r="G21" s="5" t="n">
        <v>0</v>
      </c>
      <c r="H21" s="5" t="inlineStr">
        <is>
          <t>248:35</t>
        </is>
      </c>
      <c r="I21" s="5" t="inlineStr">
        <is>
          <t>36:00</t>
        </is>
      </c>
      <c r="J21" s="9" t="n">
        <v>284.58</v>
      </c>
      <c r="K21" s="10">
        <f>J21*E21</f>
        <v/>
      </c>
      <c r="L21" s="11" t="n">
        <v>0</v>
      </c>
      <c r="M21" s="11" t="n">
        <v>0</v>
      </c>
      <c r="N21" s="10">
        <f>K21-L21-M21</f>
        <v/>
      </c>
    </row>
    <row r="22">
      <c r="A22" s="12" t="n">
        <v>18</v>
      </c>
      <c r="B22" s="13" t="inlineStr">
        <is>
          <t>Arti Sharma</t>
        </is>
      </c>
      <c r="C22" s="14" t="n">
        <v>20000</v>
      </c>
      <c r="D22" s="12" t="n">
        <v>9</v>
      </c>
      <c r="E22" s="15">
        <f>C22/(31*D22)</f>
        <v/>
      </c>
      <c r="F22" s="12" t="n">
        <v>26</v>
      </c>
      <c r="G22" s="12" t="n">
        <v>1</v>
      </c>
      <c r="H22" s="12" t="inlineStr">
        <is>
          <t>236:01</t>
        </is>
      </c>
      <c r="I22" s="12" t="inlineStr">
        <is>
          <t>36:00</t>
        </is>
      </c>
      <c r="J22" s="16" t="n">
        <v>272.02</v>
      </c>
      <c r="K22" s="17">
        <f>J22*E22</f>
        <v/>
      </c>
      <c r="L22" s="18" t="n">
        <v>0</v>
      </c>
      <c r="M22" s="18" t="n">
        <v>0</v>
      </c>
      <c r="N22" s="17">
        <f>K22-L22-M22</f>
        <v/>
      </c>
    </row>
    <row r="23">
      <c r="A23" s="5" t="n">
        <v>19</v>
      </c>
      <c r="B23" s="6" t="inlineStr">
        <is>
          <t>Bhagchand</t>
        </is>
      </c>
      <c r="C23" s="7" t="n">
        <v>16500</v>
      </c>
      <c r="D23" s="5" t="n">
        <v>10</v>
      </c>
      <c r="E23" s="8">
        <f>C23/(31*D23)</f>
        <v/>
      </c>
      <c r="F23" s="5" t="n">
        <v>0</v>
      </c>
      <c r="G23" s="5" t="n">
        <v>27</v>
      </c>
      <c r="H23" s="5" t="inlineStr">
        <is>
          <t>0:00</t>
        </is>
      </c>
      <c r="I23" s="5" t="inlineStr">
        <is>
          <t>40:00</t>
        </is>
      </c>
      <c r="J23" s="9" t="n">
        <v>40</v>
      </c>
      <c r="K23" s="10">
        <f>J23*E23</f>
        <v/>
      </c>
      <c r="L23" s="11" t="n">
        <v>0</v>
      </c>
      <c r="M23" s="11" t="n">
        <v>0</v>
      </c>
      <c r="N23" s="10">
        <f>K23-L23-M23</f>
        <v/>
      </c>
    </row>
    <row r="24">
      <c r="A24" s="12" t="n">
        <v>20</v>
      </c>
      <c r="B24" s="13" t="inlineStr">
        <is>
          <t>Girish Shani</t>
        </is>
      </c>
      <c r="C24" s="14" t="n">
        <v>15000</v>
      </c>
      <c r="D24" s="12" t="n">
        <v>9</v>
      </c>
      <c r="E24" s="15">
        <f>C24/(31*D24)</f>
        <v/>
      </c>
      <c r="F24" s="12" t="n">
        <v>10</v>
      </c>
      <c r="G24" s="12" t="n">
        <v>17</v>
      </c>
      <c r="H24" s="12" t="inlineStr">
        <is>
          <t>90:16</t>
        </is>
      </c>
      <c r="I24" s="12" t="inlineStr">
        <is>
          <t>36:00</t>
        </is>
      </c>
      <c r="J24" s="16" t="n">
        <v>126.27</v>
      </c>
      <c r="K24" s="17">
        <f>J24*E24</f>
        <v/>
      </c>
      <c r="L24" s="18" t="n">
        <v>0</v>
      </c>
      <c r="M24" s="18" t="n">
        <v>0</v>
      </c>
      <c r="N24" s="17">
        <f>K24-L24-M24</f>
        <v/>
      </c>
    </row>
    <row r="25">
      <c r="A25" s="5" t="n">
        <v>21</v>
      </c>
      <c r="B25" s="6" t="inlineStr">
        <is>
          <t>Gori Rawat</t>
        </is>
      </c>
      <c r="C25" s="7" t="n">
        <v>11500</v>
      </c>
      <c r="D25" s="5" t="n">
        <v>9</v>
      </c>
      <c r="E25" s="8">
        <f>C25/(31*D25)</f>
        <v/>
      </c>
      <c r="F25" s="5" t="n">
        <v>0</v>
      </c>
      <c r="G25" s="5" t="n">
        <v>27</v>
      </c>
      <c r="H25" s="5" t="inlineStr">
        <is>
          <t>0:00</t>
        </is>
      </c>
      <c r="I25" s="5" t="inlineStr">
        <is>
          <t>36:00</t>
        </is>
      </c>
      <c r="J25" s="9" t="n">
        <v>36</v>
      </c>
      <c r="K25" s="10">
        <f>J25*E25</f>
        <v/>
      </c>
      <c r="L25" s="11" t="n">
        <v>0</v>
      </c>
      <c r="M25" s="11" t="n">
        <v>0</v>
      </c>
      <c r="N25" s="10">
        <f>K25-L25-M25</f>
        <v/>
      </c>
    </row>
    <row r="26">
      <c r="A26" s="12" t="n">
        <v>22</v>
      </c>
      <c r="B26" s="13" t="inlineStr">
        <is>
          <t>Khushboo Manglani</t>
        </is>
      </c>
      <c r="C26" s="14" t="n">
        <v>18000</v>
      </c>
      <c r="D26" s="12" t="n">
        <v>9</v>
      </c>
      <c r="E26" s="15">
        <f>C26/(31*D26)</f>
        <v/>
      </c>
      <c r="F26" s="12" t="n">
        <v>24</v>
      </c>
      <c r="G26" s="12" t="n">
        <v>2</v>
      </c>
      <c r="H26" s="12" t="inlineStr">
        <is>
          <t>216:51</t>
        </is>
      </c>
      <c r="I26" s="12" t="inlineStr">
        <is>
          <t>36:00</t>
        </is>
      </c>
      <c r="J26" s="16" t="n">
        <v>252.85</v>
      </c>
      <c r="K26" s="17">
        <f>J26*E26</f>
        <v/>
      </c>
      <c r="L26" s="18" t="n">
        <v>0</v>
      </c>
      <c r="M26" s="18" t="n">
        <v>0</v>
      </c>
      <c r="N26" s="17">
        <f>K26-L26-M26</f>
        <v/>
      </c>
    </row>
    <row r="27">
      <c r="A27" s="5" t="n">
        <v>23</v>
      </c>
      <c r="B27" s="6" t="inlineStr">
        <is>
          <t>Mukul Sharma</t>
        </is>
      </c>
      <c r="C27" s="7" t="n">
        <v>5250</v>
      </c>
      <c r="D27" s="5" t="n">
        <v>9</v>
      </c>
      <c r="E27" s="8">
        <f>C27/(31*D27)</f>
        <v/>
      </c>
      <c r="F27" s="5" t="n">
        <v>24</v>
      </c>
      <c r="G27" s="5" t="n">
        <v>2</v>
      </c>
      <c r="H27" s="5" t="inlineStr">
        <is>
          <t>221:48</t>
        </is>
      </c>
      <c r="I27" s="5" t="inlineStr">
        <is>
          <t>36:00</t>
        </is>
      </c>
      <c r="J27" s="9" t="n">
        <v>257.8</v>
      </c>
      <c r="K27" s="10">
        <f>J27*E27</f>
        <v/>
      </c>
      <c r="L27" s="11" t="n">
        <v>0</v>
      </c>
      <c r="M27" s="11" t="n">
        <v>0</v>
      </c>
      <c r="N27" s="10">
        <f>K27-L27-M27</f>
        <v/>
      </c>
    </row>
    <row r="28">
      <c r="A28" s="12" t="n">
        <v>24</v>
      </c>
      <c r="B28" s="13" t="inlineStr">
        <is>
          <t>Parkash</t>
        </is>
      </c>
      <c r="C28" s="14" t="n">
        <v>12000</v>
      </c>
      <c r="D28" s="12" t="n">
        <v>9</v>
      </c>
      <c r="E28" s="15">
        <f>C28/(31*D28)</f>
        <v/>
      </c>
      <c r="F28" s="12" t="n">
        <v>14</v>
      </c>
      <c r="G28" s="12" t="n">
        <v>13</v>
      </c>
      <c r="H28" s="12" t="inlineStr">
        <is>
          <t>126:13</t>
        </is>
      </c>
      <c r="I28" s="12" t="inlineStr">
        <is>
          <t>36:00</t>
        </is>
      </c>
      <c r="J28" s="16" t="n">
        <v>162.22</v>
      </c>
      <c r="K28" s="17">
        <f>J28*E28</f>
        <v/>
      </c>
      <c r="L28" s="18" t="n">
        <v>0</v>
      </c>
      <c r="M28" s="18" t="n">
        <v>0</v>
      </c>
      <c r="N28" s="17">
        <f>K28-L28-M28</f>
        <v/>
      </c>
    </row>
    <row r="29">
      <c r="A29" s="5" t="n">
        <v>25</v>
      </c>
      <c r="B29" s="6" t="inlineStr">
        <is>
          <t>Pradhan</t>
        </is>
      </c>
      <c r="C29" s="7" t="n">
        <v>13950</v>
      </c>
      <c r="D29" s="5" t="n">
        <v>9</v>
      </c>
      <c r="E29" s="8">
        <f>C29/(31*D29)</f>
        <v/>
      </c>
      <c r="F29" s="5" t="n">
        <v>15</v>
      </c>
      <c r="G29" s="5" t="n">
        <v>12</v>
      </c>
      <c r="H29" s="5" t="inlineStr">
        <is>
          <t>134:59</t>
        </is>
      </c>
      <c r="I29" s="5" t="inlineStr">
        <is>
          <t>36:00</t>
        </is>
      </c>
      <c r="J29" s="9" t="n">
        <v>170.98</v>
      </c>
      <c r="K29" s="10">
        <f>J29*E29</f>
        <v/>
      </c>
      <c r="L29" s="11" t="n">
        <v>0</v>
      </c>
      <c r="M29" s="11" t="n">
        <v>0</v>
      </c>
      <c r="N29" s="10">
        <f>K29-L29-M29</f>
        <v/>
      </c>
    </row>
    <row r="30">
      <c r="A30" s="12" t="n">
        <v>26</v>
      </c>
      <c r="B30" s="13" t="inlineStr">
        <is>
          <t>Prakash</t>
        </is>
      </c>
      <c r="C30" s="14" t="n">
        <v>60000</v>
      </c>
      <c r="D30" s="12" t="n">
        <v>9</v>
      </c>
      <c r="E30" s="15">
        <f>C30/(31*D30)</f>
        <v/>
      </c>
      <c r="F30" s="12" t="n">
        <v>0</v>
      </c>
      <c r="G30" s="12" t="n">
        <v>6</v>
      </c>
      <c r="H30" s="12" t="inlineStr">
        <is>
          <t>48:00</t>
        </is>
      </c>
      <c r="I30" s="12" t="inlineStr">
        <is>
          <t>36:00</t>
        </is>
      </c>
      <c r="J30" s="16" t="n">
        <v>84</v>
      </c>
      <c r="K30" s="17">
        <f>J30*E30</f>
        <v/>
      </c>
      <c r="L30" s="18" t="n">
        <v>0</v>
      </c>
      <c r="M30" s="18" t="n">
        <v>0</v>
      </c>
      <c r="N30" s="17">
        <f>K30-L30-M30</f>
        <v/>
      </c>
    </row>
    <row r="31">
      <c r="A31" s="5" t="n">
        <v>27</v>
      </c>
      <c r="B31" s="6" t="inlineStr">
        <is>
          <t>Raji Devi</t>
        </is>
      </c>
      <c r="C31" s="7" t="n">
        <v>6000</v>
      </c>
      <c r="D31" s="5" t="n">
        <v>4</v>
      </c>
      <c r="E31" s="8">
        <f>C31/(31*D31)</f>
        <v/>
      </c>
      <c r="F31" s="5" t="n">
        <v>0</v>
      </c>
      <c r="G31" s="5" t="n">
        <v>27</v>
      </c>
      <c r="H31" s="5" t="inlineStr">
        <is>
          <t>0:00</t>
        </is>
      </c>
      <c r="I31" s="5" t="inlineStr">
        <is>
          <t>16:00</t>
        </is>
      </c>
      <c r="J31" s="9" t="n">
        <v>16</v>
      </c>
      <c r="K31" s="10">
        <f>J31*E31</f>
        <v/>
      </c>
      <c r="L31" s="11" t="n">
        <v>0</v>
      </c>
      <c r="M31" s="11" t="n">
        <v>0</v>
      </c>
      <c r="N31" s="10">
        <f>K31-L31-M31</f>
        <v/>
      </c>
    </row>
    <row r="32">
      <c r="A32" s="12" t="n">
        <v>28</v>
      </c>
      <c r="B32" s="13" t="inlineStr">
        <is>
          <t>Ramprasad</t>
        </is>
      </c>
      <c r="C32" s="14" t="n">
        <v>14000</v>
      </c>
      <c r="D32" s="12" t="n">
        <v>9</v>
      </c>
      <c r="E32" s="15">
        <f>C32/(31*D32)</f>
        <v/>
      </c>
      <c r="F32" s="12" t="n">
        <v>14</v>
      </c>
      <c r="G32" s="12" t="n">
        <v>13</v>
      </c>
      <c r="H32" s="12" t="inlineStr">
        <is>
          <t>126:30</t>
        </is>
      </c>
      <c r="I32" s="12" t="inlineStr">
        <is>
          <t>36:00</t>
        </is>
      </c>
      <c r="J32" s="16" t="n">
        <v>162.5</v>
      </c>
      <c r="K32" s="17">
        <f>J32*E32</f>
        <v/>
      </c>
      <c r="L32" s="18" t="n">
        <v>0</v>
      </c>
      <c r="M32" s="18" t="n">
        <v>0</v>
      </c>
      <c r="N32" s="17">
        <f>K32-L32-M32</f>
        <v/>
      </c>
    </row>
    <row r="33">
      <c r="A33" s="5" t="n">
        <v>29</v>
      </c>
      <c r="B33" s="6" t="inlineStr">
        <is>
          <t>Shaitan</t>
        </is>
      </c>
      <c r="C33" s="7" t="n">
        <v>13950</v>
      </c>
      <c r="D33" s="5" t="n">
        <v>9</v>
      </c>
      <c r="E33" s="8">
        <f>C33/(31*D33)</f>
        <v/>
      </c>
      <c r="F33" s="5" t="n">
        <v>14</v>
      </c>
      <c r="G33" s="5" t="n">
        <v>12</v>
      </c>
      <c r="H33" s="5" t="inlineStr">
        <is>
          <t>124:53</t>
        </is>
      </c>
      <c r="I33" s="5" t="inlineStr">
        <is>
          <t>36:00</t>
        </is>
      </c>
      <c r="J33" s="9" t="n">
        <v>160.88</v>
      </c>
      <c r="K33" s="10">
        <f>J33*E33</f>
        <v/>
      </c>
      <c r="L33" s="11" t="n">
        <v>0</v>
      </c>
      <c r="M33" s="11" t="n">
        <v>0</v>
      </c>
      <c r="N33" s="10">
        <f>K33-L33-M33</f>
        <v/>
      </c>
    </row>
    <row r="34">
      <c r="A34" s="12" t="n">
        <v>30</v>
      </c>
      <c r="B34" s="13" t="inlineStr">
        <is>
          <t>Sitadevi</t>
        </is>
      </c>
      <c r="C34" s="14" t="n">
        <v>10000</v>
      </c>
      <c r="D34" s="12" t="n">
        <v>9</v>
      </c>
      <c r="E34" s="15">
        <f>C34/(31*D34)</f>
        <v/>
      </c>
      <c r="F34" s="12" t="n">
        <v>15</v>
      </c>
      <c r="G34" s="12" t="n">
        <v>12</v>
      </c>
      <c r="H34" s="12" t="inlineStr">
        <is>
          <t>134:37</t>
        </is>
      </c>
      <c r="I34" s="12" t="inlineStr">
        <is>
          <t>36:00</t>
        </is>
      </c>
      <c r="J34" s="16" t="n">
        <v>170.62</v>
      </c>
      <c r="K34" s="17">
        <f>J34*E34</f>
        <v/>
      </c>
      <c r="L34" s="18" t="n">
        <v>0</v>
      </c>
      <c r="M34" s="18" t="n">
        <v>0</v>
      </c>
      <c r="N34" s="17">
        <f>K34-L34-M34</f>
        <v/>
      </c>
    </row>
    <row r="35">
      <c r="A35" s="5" t="n">
        <v>31</v>
      </c>
      <c r="B35" s="6" t="inlineStr">
        <is>
          <t>Swaroopnath</t>
        </is>
      </c>
      <c r="C35" s="7" t="n">
        <v>18997</v>
      </c>
      <c r="D35" s="5" t="n">
        <v>9</v>
      </c>
      <c r="E35" s="8">
        <f>C35/(31*D35)</f>
        <v/>
      </c>
      <c r="F35" s="5" t="n">
        <v>0</v>
      </c>
      <c r="G35" s="5" t="n">
        <v>27</v>
      </c>
      <c r="H35" s="5" t="inlineStr">
        <is>
          <t>0:00</t>
        </is>
      </c>
      <c r="I35" s="5" t="inlineStr">
        <is>
          <t>36:00</t>
        </is>
      </c>
      <c r="J35" s="9" t="n">
        <v>36</v>
      </c>
      <c r="K35" s="10">
        <f>J35*E35</f>
        <v/>
      </c>
      <c r="L35" s="11" t="n">
        <v>0</v>
      </c>
      <c r="M35" s="11" t="n">
        <v>0</v>
      </c>
      <c r="N35" s="10">
        <f>K35-L35-M35</f>
        <v/>
      </c>
    </row>
    <row r="36">
      <c r="A36" s="12" t="n">
        <v>32</v>
      </c>
      <c r="B36" s="13" t="inlineStr">
        <is>
          <t>Raju Gujjar</t>
        </is>
      </c>
      <c r="C36" s="14" t="n">
        <v>11150</v>
      </c>
      <c r="D36" s="12" t="n">
        <v>10</v>
      </c>
      <c r="E36" s="15">
        <f>C36/(31*D36)</f>
        <v/>
      </c>
      <c r="F36" s="12" t="n">
        <v>27</v>
      </c>
      <c r="G36" s="12" t="n">
        <v>0</v>
      </c>
      <c r="H36" s="12" t="inlineStr">
        <is>
          <t>274:33</t>
        </is>
      </c>
      <c r="I36" s="12" t="inlineStr">
        <is>
          <t>40:00</t>
        </is>
      </c>
      <c r="J36" s="16" t="n">
        <v>314.55</v>
      </c>
      <c r="K36" s="17">
        <f>J36*E36</f>
        <v/>
      </c>
      <c r="L36" s="18" t="n">
        <v>0</v>
      </c>
      <c r="M36" s="18" t="n">
        <v>0</v>
      </c>
      <c r="N36" s="17">
        <f>K36-L36-M36</f>
        <v/>
      </c>
    </row>
    <row r="37">
      <c r="A37" s="5" t="n">
        <v>33</v>
      </c>
      <c r="B37" s="6" t="inlineStr">
        <is>
          <t>Reema Bajaj</t>
        </is>
      </c>
      <c r="C37" s="7" t="n">
        <v>100000</v>
      </c>
      <c r="D37" s="5" t="n">
        <v>7</v>
      </c>
      <c r="E37" s="8">
        <f>C37/(31*D37)</f>
        <v/>
      </c>
      <c r="F37" s="5" t="n">
        <v>27</v>
      </c>
      <c r="G37" s="5" t="n">
        <v>0</v>
      </c>
      <c r="H37" s="5" t="inlineStr">
        <is>
          <t>194:11</t>
        </is>
      </c>
      <c r="I37" s="5" t="inlineStr">
        <is>
          <t>28:00</t>
        </is>
      </c>
      <c r="J37" s="9" t="n">
        <v>222.18</v>
      </c>
      <c r="K37" s="10">
        <f>J37*E37</f>
        <v/>
      </c>
      <c r="L37" s="11" t="n">
        <v>0</v>
      </c>
      <c r="M37" s="11" t="n">
        <v>0</v>
      </c>
      <c r="N37" s="10">
        <f>K37-L37-M37</f>
        <v/>
      </c>
    </row>
    <row r="38">
      <c r="A38" s="12" t="n">
        <v>34</v>
      </c>
      <c r="B38" s="13" t="inlineStr">
        <is>
          <t>Reena Gujjar</t>
        </is>
      </c>
      <c r="C38" s="14" t="n">
        <v>5700</v>
      </c>
      <c r="D38" s="12" t="n">
        <v>4</v>
      </c>
      <c r="E38" s="15">
        <f>C38/(31*D38)</f>
        <v/>
      </c>
      <c r="F38" s="12" t="n">
        <v>17</v>
      </c>
      <c r="G38" s="12" t="n">
        <v>7</v>
      </c>
      <c r="H38" s="12" t="inlineStr">
        <is>
          <t>69:59</t>
        </is>
      </c>
      <c r="I38" s="12" t="inlineStr">
        <is>
          <t>16:00</t>
        </is>
      </c>
      <c r="J38" s="16" t="n">
        <v>85.98</v>
      </c>
      <c r="K38" s="17">
        <f>J38*E38</f>
        <v/>
      </c>
      <c r="L38" s="18" t="n">
        <v>0</v>
      </c>
      <c r="M38" s="18" t="n">
        <v>0</v>
      </c>
      <c r="N38" s="17">
        <f>K38-L38-M38</f>
        <v/>
      </c>
    </row>
    <row r="39">
      <c r="A39" s="5" t="n">
        <v>35</v>
      </c>
      <c r="B39" s="6" t="inlineStr">
        <is>
          <t>Reetu Sindal</t>
        </is>
      </c>
      <c r="C39" s="7" t="n">
        <v>10000</v>
      </c>
      <c r="D39" s="5" t="n">
        <v>9</v>
      </c>
      <c r="E39" s="8">
        <f>C39/(31*D39)</f>
        <v/>
      </c>
      <c r="F39" s="5" t="n">
        <v>24</v>
      </c>
      <c r="G39" s="5" t="n">
        <v>3</v>
      </c>
      <c r="H39" s="5" t="inlineStr">
        <is>
          <t>214:01</t>
        </is>
      </c>
      <c r="I39" s="5" t="inlineStr">
        <is>
          <t>36:00</t>
        </is>
      </c>
      <c r="J39" s="9" t="n">
        <v>250.02</v>
      </c>
      <c r="K39" s="10">
        <f>J39*E39</f>
        <v/>
      </c>
      <c r="L39" s="11" t="n">
        <v>0</v>
      </c>
      <c r="M39" s="11" t="n">
        <v>0</v>
      </c>
      <c r="N39" s="10">
        <f>K39-L39-M39</f>
        <v/>
      </c>
    </row>
    <row r="40">
      <c r="A40" s="12" t="n">
        <v>36</v>
      </c>
      <c r="B40" s="13" t="inlineStr">
        <is>
          <t>Viram Singh</t>
        </is>
      </c>
      <c r="C40" s="14" t="n">
        <v>17000</v>
      </c>
      <c r="D40" s="12" t="n">
        <v>10</v>
      </c>
      <c r="E40" s="15">
        <f>C40/(31*D40)</f>
        <v/>
      </c>
      <c r="F40" s="12" t="n">
        <v>23</v>
      </c>
      <c r="G40" s="12" t="n">
        <v>4</v>
      </c>
      <c r="H40" s="12" t="inlineStr">
        <is>
          <t>257:08</t>
        </is>
      </c>
      <c r="I40" s="12" t="inlineStr">
        <is>
          <t>40:00</t>
        </is>
      </c>
      <c r="J40" s="16" t="n">
        <v>297.13</v>
      </c>
      <c r="K40" s="17">
        <f>J40*E40</f>
        <v/>
      </c>
      <c r="L40" s="18" t="n">
        <v>0</v>
      </c>
      <c r="M40" s="18" t="n">
        <v>0</v>
      </c>
      <c r="N40" s="17">
        <f>K40-L40-M40</f>
        <v/>
      </c>
    </row>
    <row r="41">
      <c r="A41" s="5" t="n">
        <v>37</v>
      </c>
      <c r="B41" s="6" t="inlineStr">
        <is>
          <t>Anamika Tanwar</t>
        </is>
      </c>
      <c r="C41" s="7" t="n">
        <v>14000</v>
      </c>
      <c r="D41" s="5" t="n">
        <v>9</v>
      </c>
      <c r="E41" s="8">
        <f>C41/(31*D41)</f>
        <v/>
      </c>
      <c r="F41" s="5" t="n">
        <v>24</v>
      </c>
      <c r="G41" s="5" t="n">
        <v>2</v>
      </c>
      <c r="H41" s="5" t="inlineStr">
        <is>
          <t>222:58</t>
        </is>
      </c>
      <c r="I41" s="5" t="inlineStr">
        <is>
          <t>36:00</t>
        </is>
      </c>
      <c r="J41" s="9" t="n">
        <v>258.97</v>
      </c>
      <c r="K41" s="10">
        <f>J41*E41</f>
        <v/>
      </c>
      <c r="L41" s="11" t="n">
        <v>0</v>
      </c>
      <c r="M41" s="11" t="n">
        <v>0</v>
      </c>
      <c r="N41" s="10">
        <f>K41-L41-M41</f>
        <v/>
      </c>
    </row>
    <row r="42">
      <c r="A42" s="12" t="n">
        <v>38</v>
      </c>
      <c r="B42" s="13" t="inlineStr">
        <is>
          <t>Arun Mathur</t>
        </is>
      </c>
      <c r="C42" s="14" t="n">
        <v>50000</v>
      </c>
      <c r="D42" s="12" t="n">
        <v>9</v>
      </c>
      <c r="E42" s="15">
        <f>C42/(31*D42)</f>
        <v/>
      </c>
      <c r="F42" s="12" t="n">
        <v>22</v>
      </c>
      <c r="G42" s="12" t="n">
        <v>3</v>
      </c>
      <c r="H42" s="12" t="inlineStr">
        <is>
          <t>198:28</t>
        </is>
      </c>
      <c r="I42" s="12" t="inlineStr">
        <is>
          <t>36:00</t>
        </is>
      </c>
      <c r="J42" s="16" t="n">
        <v>234.47</v>
      </c>
      <c r="K42" s="17">
        <f>J42*E42</f>
        <v/>
      </c>
      <c r="L42" s="18" t="n">
        <v>0</v>
      </c>
      <c r="M42" s="18" t="n">
        <v>0</v>
      </c>
      <c r="N42" s="17">
        <f>K42-L42-M42</f>
        <v/>
      </c>
    </row>
    <row r="43">
      <c r="A43" s="5" t="n">
        <v>39</v>
      </c>
      <c r="B43" s="6" t="inlineStr">
        <is>
          <t>Mayank Agarwal</t>
        </is>
      </c>
      <c r="C43" s="7" t="n">
        <v>10000</v>
      </c>
      <c r="D43" s="5" t="n">
        <v>1</v>
      </c>
      <c r="E43" s="8">
        <f>C43/(31*D43)</f>
        <v/>
      </c>
      <c r="F43" s="5" t="n">
        <v>21</v>
      </c>
      <c r="G43" s="5" t="n">
        <v>6</v>
      </c>
      <c r="H43" s="5" t="inlineStr">
        <is>
          <t>21:08</t>
        </is>
      </c>
      <c r="I43" s="5" t="inlineStr">
        <is>
          <t>4:00</t>
        </is>
      </c>
      <c r="J43" s="9" t="n">
        <v>25.13</v>
      </c>
      <c r="K43" s="10">
        <f>J43*E43</f>
        <v/>
      </c>
      <c r="L43" s="11" t="n">
        <v>0</v>
      </c>
      <c r="M43" s="11" t="n">
        <v>0</v>
      </c>
      <c r="N43" s="10">
        <f>K43-L43-M43</f>
        <v/>
      </c>
    </row>
    <row r="44">
      <c r="A44" s="12" t="n">
        <v>40</v>
      </c>
      <c r="B44" s="13" t="inlineStr">
        <is>
          <t>Priyanka Shukla</t>
        </is>
      </c>
      <c r="C44" s="14" t="n">
        <v>18000</v>
      </c>
      <c r="D44" s="12" t="n">
        <v>9</v>
      </c>
      <c r="E44" s="15">
        <f>C44/(31*D44)</f>
        <v/>
      </c>
      <c r="F44" s="12" t="n">
        <v>23</v>
      </c>
      <c r="G44" s="12" t="n">
        <v>3</v>
      </c>
      <c r="H44" s="12" t="inlineStr">
        <is>
          <t>207:45</t>
        </is>
      </c>
      <c r="I44" s="12" t="inlineStr">
        <is>
          <t>36:00</t>
        </is>
      </c>
      <c r="J44" s="16" t="n">
        <v>243.75</v>
      </c>
      <c r="K44" s="17">
        <f>J44*E44</f>
        <v/>
      </c>
      <c r="L44" s="18" t="n">
        <v>0</v>
      </c>
      <c r="M44" s="18" t="n">
        <v>0</v>
      </c>
      <c r="N44" s="17">
        <f>K44-L44-M44</f>
        <v/>
      </c>
    </row>
    <row r="45">
      <c r="A45" s="5" t="n">
        <v>41</v>
      </c>
      <c r="B45" s="6" t="inlineStr">
        <is>
          <t>Radhika Mehra</t>
        </is>
      </c>
      <c r="C45" s="7" t="n">
        <v>12000</v>
      </c>
      <c r="D45" s="5" t="n">
        <v>9</v>
      </c>
      <c r="E45" s="8">
        <f>C45/(31*D45)</f>
        <v/>
      </c>
      <c r="F45" s="5" t="n">
        <v>16</v>
      </c>
      <c r="G45" s="5" t="n">
        <v>11</v>
      </c>
      <c r="H45" s="5" t="inlineStr">
        <is>
          <t>144:51</t>
        </is>
      </c>
      <c r="I45" s="5" t="inlineStr">
        <is>
          <t>36:00</t>
        </is>
      </c>
      <c r="J45" s="9" t="n">
        <v>180.85</v>
      </c>
      <c r="K45" s="10">
        <f>J45*E45</f>
        <v/>
      </c>
      <c r="L45" s="11" t="n">
        <v>0</v>
      </c>
      <c r="M45" s="11" t="n">
        <v>0</v>
      </c>
      <c r="N45" s="10">
        <f>K45-L45-M45</f>
        <v/>
      </c>
    </row>
    <row r="46">
      <c r="A46" s="12" t="n">
        <v>42</v>
      </c>
      <c r="B46" s="13" t="inlineStr">
        <is>
          <t>Sachin Kumar</t>
        </is>
      </c>
      <c r="C46" s="14" t="n">
        <v>13000</v>
      </c>
      <c r="D46" s="12" t="n">
        <v>9</v>
      </c>
      <c r="E46" s="15">
        <f>C46/(31*D46)</f>
        <v/>
      </c>
      <c r="F46" s="12" t="n">
        <v>12</v>
      </c>
      <c r="G46" s="12" t="n">
        <v>15</v>
      </c>
      <c r="H46" s="12" t="inlineStr">
        <is>
          <t>107:49</t>
        </is>
      </c>
      <c r="I46" s="12" t="inlineStr">
        <is>
          <t>36:00</t>
        </is>
      </c>
      <c r="J46" s="16" t="n">
        <v>143.82</v>
      </c>
      <c r="K46" s="17">
        <f>J46*E46</f>
        <v/>
      </c>
      <c r="L46" s="18" t="n">
        <v>0</v>
      </c>
      <c r="M46" s="18" t="n">
        <v>0</v>
      </c>
      <c r="N46" s="17">
        <f>K46-L46-M46</f>
        <v/>
      </c>
    </row>
    <row r="47">
      <c r="A47" s="19" t="inlineStr"/>
      <c r="B47" s="19" t="inlineStr">
        <is>
          <t>TOTAL</t>
        </is>
      </c>
      <c r="C47" s="20">
        <f>SUM(C5:C46)</f>
        <v/>
      </c>
      <c r="D47" s="19" t="n"/>
      <c r="E47" s="19" t="n"/>
      <c r="F47" s="19">
        <f>SUM(F5:F46)</f>
        <v/>
      </c>
      <c r="G47" s="19">
        <f>SUM(G5:G46)</f>
        <v/>
      </c>
      <c r="H47" s="19" t="n"/>
      <c r="I47" s="19" t="n"/>
      <c r="J47" s="20">
        <f>SUM(J5:J46)</f>
        <v/>
      </c>
      <c r="K47" s="20">
        <f>SUM(K5:K46)</f>
        <v/>
      </c>
      <c r="L47" s="20">
        <f>SUM(L5:L46)</f>
        <v/>
      </c>
      <c r="M47" s="20">
        <f>SUM(M5:M46)</f>
        <v/>
      </c>
      <c r="N47" s="20">
        <f>SUM(N5:N46)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1" t="inlineStr">
        <is>
          <t>Payroll Summary</t>
        </is>
      </c>
    </row>
    <row r="2">
      <c r="A2" s="2" t="inlineStr">
        <is>
          <t>Laxree Group of Companies — July 2026</t>
        </is>
      </c>
    </row>
    <row r="4">
      <c r="A4" s="4" t="inlineStr">
        <is>
          <t>Category</t>
        </is>
      </c>
      <c r="B4" s="4" t="inlineStr">
        <is>
          <t>Amount (₹)</t>
        </is>
      </c>
    </row>
    <row r="5">
      <c r="A5" s="6" t="inlineStr">
        <is>
          <t>Total Gross Salary</t>
        </is>
      </c>
      <c r="B5" s="10" t="n">
        <v>589868.49</v>
      </c>
    </row>
    <row r="6">
      <c r="A6" s="6" t="inlineStr">
        <is>
          <t>Total OT Amount</t>
        </is>
      </c>
      <c r="B6" s="10" t="n">
        <v>7997.7063</v>
      </c>
    </row>
    <row r="7">
      <c r="A7" s="6" t="inlineStr">
        <is>
          <t>Total Bonus</t>
        </is>
      </c>
      <c r="B7" s="10" t="n">
        <v>0</v>
      </c>
    </row>
    <row r="8">
      <c r="A8" s="6" t="inlineStr">
        <is>
          <t>Total Deductions</t>
        </is>
      </c>
      <c r="B8" s="10" t="n">
        <v>0</v>
      </c>
    </row>
    <row r="9">
      <c r="A9" s="21" t="inlineStr">
        <is>
          <t>Total Net Payroll</t>
        </is>
      </c>
      <c r="B9" s="20" t="n">
        <v>589868.49</v>
      </c>
    </row>
    <row r="11">
      <c r="A11" s="4" t="inlineStr">
        <is>
          <t>Metric</t>
        </is>
      </c>
      <c r="B11" s="4" t="inlineStr">
        <is>
          <t>Value</t>
        </is>
      </c>
    </row>
    <row r="12">
      <c r="A12" s="6" t="inlineStr">
        <is>
          <t>Employees Processed</t>
        </is>
      </c>
      <c r="B12" s="7" t="n">
        <v>42</v>
      </c>
    </row>
    <row r="13">
      <c r="A13" s="6" t="inlineStr">
        <is>
          <t>Total Present Days</t>
        </is>
      </c>
      <c r="B13" s="7" t="n">
        <v>662</v>
      </c>
    </row>
    <row r="14">
      <c r="A14" s="6" t="inlineStr">
        <is>
          <t>Total Absent Days</t>
        </is>
      </c>
      <c r="B14" s="7" t="n">
        <v>435</v>
      </c>
    </row>
    <row r="15">
      <c r="A15" s="6" t="inlineStr">
        <is>
          <t>Average Net Salary</t>
        </is>
      </c>
      <c r="B15" s="10" t="n">
        <v>14044.49</v>
      </c>
    </row>
    <row r="16">
      <c r="A16" s="6" t="inlineStr">
        <is>
          <t>Total OT Hours</t>
        </is>
      </c>
      <c r="B16" s="11" t="inlineStr">
        <is>
          <t>92:25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7" customWidth="1" min="4" max="4"/>
    <col width="16" customWidth="1" min="5" max="5"/>
    <col width="14" customWidth="1" min="6" max="6"/>
    <col width="11" customWidth="1" min="7" max="7"/>
    <col width="10" customWidth="1" min="8" max="8"/>
    <col width="11" customWidth="1" min="9" max="9"/>
    <col width="11" customWidth="1" min="10" max="10"/>
    <col width="16" customWidth="1" min="11" max="11"/>
    <col width="13" customWidth="1" min="12" max="12"/>
  </cols>
  <sheetData>
    <row r="1" ht="28" customHeight="1">
      <c r="A1" s="1" t="inlineStr">
        <is>
          <t>LAXREE GROUP OF COMPANIES — Master Employee List (July 2026)</t>
        </is>
      </c>
    </row>
    <row r="2">
      <c r="A2" s="22" t="inlineStr">
        <is>
          <t>Days in Month: 31  |  Sundays: 4  |  Holidays: 0  |  Working Days: 27</t>
        </is>
      </c>
    </row>
    <row r="4" ht="32" customHeight="1">
      <c r="A4" s="4" t="inlineStr">
        <is>
          <t>S.No</t>
        </is>
      </c>
      <c r="B4" s="4" t="inlineStr">
        <is>
          <t>Emp Code</t>
        </is>
      </c>
      <c r="C4" s="4" t="inlineStr">
        <is>
          <t>Employee Name</t>
        </is>
      </c>
      <c r="D4" s="4" t="inlineStr">
        <is>
          <t>Firm</t>
        </is>
      </c>
      <c r="E4" s="4" t="inlineStr">
        <is>
          <t>Location</t>
        </is>
      </c>
      <c r="F4" s="4" t="inlineStr">
        <is>
          <t>Monthly Salary</t>
        </is>
      </c>
      <c r="G4" s="4" t="inlineStr">
        <is>
          <t>Shift Hrs/Day</t>
        </is>
      </c>
      <c r="H4" s="4" t="inlineStr">
        <is>
          <t>Sl/Hr</t>
        </is>
      </c>
      <c r="I4" s="4" t="inlineStr">
        <is>
          <t>Present Days</t>
        </is>
      </c>
      <c r="J4" s="4" t="inlineStr">
        <is>
          <t>Absent Days</t>
        </is>
      </c>
      <c r="K4" s="4" t="inlineStr">
        <is>
          <t>Worked Hrs incl OT</t>
        </is>
      </c>
      <c r="L4" s="4" t="inlineStr">
        <is>
          <t>Total Hrs</t>
        </is>
      </c>
    </row>
    <row r="5">
      <c r="A5" s="5" t="n">
        <v>1</v>
      </c>
      <c r="B5" s="6" t="inlineStr">
        <is>
          <t>EMP-436</t>
        </is>
      </c>
      <c r="C5" s="6" t="inlineStr">
        <is>
          <t>Ashish</t>
        </is>
      </c>
      <c r="D5" s="5" t="inlineStr">
        <is>
          <t>LAPL</t>
        </is>
      </c>
      <c r="E5" s="6" t="inlineStr">
        <is>
          <t>Ajmer</t>
        </is>
      </c>
      <c r="F5" s="7" t="n">
        <v>25000</v>
      </c>
      <c r="G5" s="5" t="n">
        <v>9</v>
      </c>
      <c r="H5" s="9">
        <f>F5/(31*G5)</f>
        <v/>
      </c>
      <c r="I5" s="5" t="n">
        <v>11</v>
      </c>
      <c r="J5" s="5" t="n">
        <v>16</v>
      </c>
      <c r="K5" s="5" t="inlineStr">
        <is>
          <t>97:55</t>
        </is>
      </c>
      <c r="L5" s="5" t="inlineStr">
        <is>
          <t>133:55</t>
        </is>
      </c>
    </row>
    <row r="6">
      <c r="A6" s="12" t="n">
        <v>2</v>
      </c>
      <c r="B6" s="13" t="inlineStr">
        <is>
          <t>EMP-434</t>
        </is>
      </c>
      <c r="C6" s="13" t="inlineStr">
        <is>
          <t>Chaitanaya</t>
        </is>
      </c>
      <c r="D6" s="12" t="inlineStr">
        <is>
          <t>LAPL</t>
        </is>
      </c>
      <c r="E6" s="13" t="inlineStr">
        <is>
          <t>Ajmer</t>
        </is>
      </c>
      <c r="F6" s="14" t="n">
        <v>25000</v>
      </c>
      <c r="G6" s="12" t="n">
        <v>9</v>
      </c>
      <c r="H6" s="16">
        <f>F6/(31*G6)</f>
        <v/>
      </c>
      <c r="I6" s="12" t="n">
        <v>11</v>
      </c>
      <c r="J6" s="12" t="n">
        <v>16</v>
      </c>
      <c r="K6" s="12" t="inlineStr">
        <is>
          <t>101:47</t>
        </is>
      </c>
      <c r="L6" s="12" t="inlineStr">
        <is>
          <t>137:47</t>
        </is>
      </c>
    </row>
    <row r="7">
      <c r="A7" s="5" t="n">
        <v>3</v>
      </c>
      <c r="B7" s="6" t="inlineStr">
        <is>
          <t>EMP-441</t>
        </is>
      </c>
      <c r="C7" s="6" t="inlineStr">
        <is>
          <t>HONEY JAIN</t>
        </is>
      </c>
      <c r="D7" s="5" t="inlineStr">
        <is>
          <t>LAPL</t>
        </is>
      </c>
      <c r="E7" s="6" t="inlineStr">
        <is>
          <t>Ajmer</t>
        </is>
      </c>
      <c r="F7" s="7" t="n">
        <v>18000</v>
      </c>
      <c r="G7" s="5" t="n">
        <v>9</v>
      </c>
      <c r="H7" s="9">
        <f>F7/(31*G7)</f>
        <v/>
      </c>
      <c r="I7" s="5" t="n">
        <v>0</v>
      </c>
      <c r="J7" s="5" t="n">
        <v>27</v>
      </c>
      <c r="K7" s="5" t="inlineStr">
        <is>
          <t>0:00</t>
        </is>
      </c>
      <c r="L7" s="5" t="inlineStr">
        <is>
          <t>36:00</t>
        </is>
      </c>
    </row>
    <row r="8">
      <c r="A8" s="12" t="n">
        <v>4</v>
      </c>
      <c r="B8" s="13" t="inlineStr">
        <is>
          <t>EMP-021</t>
        </is>
      </c>
      <c r="C8" s="13" t="inlineStr">
        <is>
          <t>Kamlesh Prajapati</t>
        </is>
      </c>
      <c r="D8" s="12" t="inlineStr">
        <is>
          <t>LAPL</t>
        </is>
      </c>
      <c r="E8" s="13" t="inlineStr">
        <is>
          <t>Ajmer</t>
        </is>
      </c>
      <c r="F8" s="14" t="n">
        <v>19000</v>
      </c>
      <c r="G8" s="12" t="n">
        <v>9</v>
      </c>
      <c r="H8" s="16">
        <f>F8/(31*G8)</f>
        <v/>
      </c>
      <c r="I8" s="12" t="n">
        <v>24</v>
      </c>
      <c r="J8" s="12" t="n">
        <v>3</v>
      </c>
      <c r="K8" s="12" t="inlineStr">
        <is>
          <t>216:04</t>
        </is>
      </c>
      <c r="L8" s="12" t="inlineStr">
        <is>
          <t>252:04</t>
        </is>
      </c>
    </row>
    <row r="9">
      <c r="A9" s="5" t="n">
        <v>5</v>
      </c>
      <c r="B9" s="6" t="inlineStr">
        <is>
          <t>EMP-431</t>
        </is>
      </c>
      <c r="C9" s="6" t="inlineStr">
        <is>
          <t>Kanishka Devnath</t>
        </is>
      </c>
      <c r="D9" s="5" t="inlineStr">
        <is>
          <t>LAPL</t>
        </is>
      </c>
      <c r="E9" s="6" t="inlineStr">
        <is>
          <t>Ajmer</t>
        </is>
      </c>
      <c r="F9" s="7" t="n">
        <v>18000</v>
      </c>
      <c r="G9" s="5" t="n">
        <v>9</v>
      </c>
      <c r="H9" s="9">
        <f>F9/(31*G9)</f>
        <v/>
      </c>
      <c r="I9" s="5" t="n">
        <v>13</v>
      </c>
      <c r="J9" s="5" t="n">
        <v>14</v>
      </c>
      <c r="K9" s="5" t="inlineStr">
        <is>
          <t>114:37</t>
        </is>
      </c>
      <c r="L9" s="5" t="inlineStr">
        <is>
          <t>150:37</t>
        </is>
      </c>
    </row>
    <row r="10">
      <c r="A10" s="12" t="n">
        <v>6</v>
      </c>
      <c r="B10" s="13" t="inlineStr">
        <is>
          <t>EMP-438</t>
        </is>
      </c>
      <c r="C10" s="13" t="inlineStr">
        <is>
          <t>Khushi</t>
        </is>
      </c>
      <c r="D10" s="12" t="inlineStr">
        <is>
          <t>LAPL</t>
        </is>
      </c>
      <c r="E10" s="13" t="inlineStr">
        <is>
          <t>Ajmer</t>
        </is>
      </c>
      <c r="F10" s="14" t="n">
        <v>15000</v>
      </c>
      <c r="G10" s="12" t="n">
        <v>9</v>
      </c>
      <c r="H10" s="16">
        <f>F10/(31*G10)</f>
        <v/>
      </c>
      <c r="I10" s="12" t="n">
        <v>3</v>
      </c>
      <c r="J10" s="12" t="n">
        <v>24</v>
      </c>
      <c r="K10" s="12" t="inlineStr">
        <is>
          <t>27:07</t>
        </is>
      </c>
      <c r="L10" s="12" t="inlineStr">
        <is>
          <t>63:07</t>
        </is>
      </c>
    </row>
    <row r="11">
      <c r="A11" s="5" t="n">
        <v>7</v>
      </c>
      <c r="B11" s="6" t="inlineStr">
        <is>
          <t>EMP-041</t>
        </is>
      </c>
      <c r="C11" s="6" t="inlineStr">
        <is>
          <t>Kulvinder Singh Lamba</t>
        </is>
      </c>
      <c r="D11" s="5" t="inlineStr">
        <is>
          <t>LAPL</t>
        </is>
      </c>
      <c r="E11" s="6" t="inlineStr">
        <is>
          <t>Gurgaon</t>
        </is>
      </c>
      <c r="F11" s="7" t="n">
        <v>75000</v>
      </c>
      <c r="G11" s="5" t="n">
        <v>9</v>
      </c>
      <c r="H11" s="9">
        <f>F11/(31*G11)</f>
        <v/>
      </c>
      <c r="I11" s="5" t="n">
        <v>24</v>
      </c>
      <c r="J11" s="5" t="n">
        <v>2</v>
      </c>
      <c r="K11" s="5" t="inlineStr">
        <is>
          <t>215:30</t>
        </is>
      </c>
      <c r="L11" s="5" t="inlineStr">
        <is>
          <t>251:30</t>
        </is>
      </c>
    </row>
    <row r="12">
      <c r="A12" s="12" t="n">
        <v>8</v>
      </c>
      <c r="B12" s="13" t="inlineStr">
        <is>
          <t>EMP-117</t>
        </is>
      </c>
      <c r="C12" s="13" t="inlineStr">
        <is>
          <t>Manish Rawat</t>
        </is>
      </c>
      <c r="D12" s="12" t="inlineStr">
        <is>
          <t>LAPL</t>
        </is>
      </c>
      <c r="E12" s="13" t="inlineStr">
        <is>
          <t>Palra Warehouse</t>
        </is>
      </c>
      <c r="F12" s="14" t="n">
        <v>0</v>
      </c>
      <c r="G12" s="12" t="n">
        <v>10</v>
      </c>
      <c r="H12" s="16">
        <f>F12/(31*G12)</f>
        <v/>
      </c>
      <c r="I12" s="12" t="n">
        <v>25</v>
      </c>
      <c r="J12" s="12" t="n">
        <v>2</v>
      </c>
      <c r="K12" s="12" t="inlineStr">
        <is>
          <t>244:29</t>
        </is>
      </c>
      <c r="L12" s="12" t="inlineStr">
        <is>
          <t>284:29</t>
        </is>
      </c>
    </row>
    <row r="13">
      <c r="A13" s="5" t="n">
        <v>9</v>
      </c>
      <c r="B13" s="6" t="inlineStr">
        <is>
          <t>EMP-442</t>
        </is>
      </c>
      <c r="C13" s="6" t="inlineStr">
        <is>
          <t>Priyanka Sharma</t>
        </is>
      </c>
      <c r="D13" s="5" t="inlineStr">
        <is>
          <t>LAPL</t>
        </is>
      </c>
      <c r="E13" s="6" t="inlineStr">
        <is>
          <t>Ajmer</t>
        </is>
      </c>
      <c r="F13" s="7" t="n">
        <v>12000</v>
      </c>
      <c r="G13" s="5" t="n">
        <v>9</v>
      </c>
      <c r="H13" s="9">
        <f>F13/(31*G13)</f>
        <v/>
      </c>
      <c r="I13" s="5" t="n">
        <v>0</v>
      </c>
      <c r="J13" s="5" t="n">
        <v>27</v>
      </c>
      <c r="K13" s="5" t="inlineStr">
        <is>
          <t>0:00</t>
        </is>
      </c>
      <c r="L13" s="5" t="inlineStr">
        <is>
          <t>36:00</t>
        </is>
      </c>
    </row>
    <row r="14">
      <c r="A14" s="12" t="n">
        <v>10</v>
      </c>
      <c r="B14" s="13" t="inlineStr">
        <is>
          <t>EMP-054</t>
        </is>
      </c>
      <c r="C14" s="13" t="inlineStr">
        <is>
          <t>Ranveer Singh</t>
        </is>
      </c>
      <c r="D14" s="12" t="inlineStr">
        <is>
          <t>LAPL</t>
        </is>
      </c>
      <c r="E14" s="13" t="inlineStr">
        <is>
          <t>Gurgaon</t>
        </is>
      </c>
      <c r="F14" s="14" t="n">
        <v>15000</v>
      </c>
      <c r="G14" s="12" t="n">
        <v>9</v>
      </c>
      <c r="H14" s="16">
        <f>F14/(31*G14)</f>
        <v/>
      </c>
      <c r="I14" s="12" t="n">
        <v>24</v>
      </c>
      <c r="J14" s="12" t="n">
        <v>2</v>
      </c>
      <c r="K14" s="12" t="inlineStr">
        <is>
          <t>211:14</t>
        </is>
      </c>
      <c r="L14" s="12" t="inlineStr">
        <is>
          <t>247:14</t>
        </is>
      </c>
    </row>
    <row r="15">
      <c r="A15" s="5" t="n">
        <v>11</v>
      </c>
      <c r="B15" s="6" t="inlineStr">
        <is>
          <t>EMP-013</t>
        </is>
      </c>
      <c r="C15" s="6" t="inlineStr">
        <is>
          <t>Saurabh Jangid</t>
        </is>
      </c>
      <c r="D15" s="5" t="inlineStr">
        <is>
          <t>LAPL</t>
        </is>
      </c>
      <c r="E15" s="6" t="inlineStr">
        <is>
          <t>Ajmer</t>
        </is>
      </c>
      <c r="F15" s="7" t="n">
        <v>22600</v>
      </c>
      <c r="G15" s="5" t="n">
        <v>9</v>
      </c>
      <c r="H15" s="9">
        <f>F15/(31*G15)</f>
        <v/>
      </c>
      <c r="I15" s="5" t="n">
        <v>21</v>
      </c>
      <c r="J15" s="5" t="n">
        <v>5</v>
      </c>
      <c r="K15" s="5" t="inlineStr">
        <is>
          <t>184:58</t>
        </is>
      </c>
      <c r="L15" s="5" t="inlineStr">
        <is>
          <t>220:58</t>
        </is>
      </c>
    </row>
    <row r="16">
      <c r="A16" s="12" t="n">
        <v>12</v>
      </c>
      <c r="B16" s="13" t="inlineStr">
        <is>
          <t>EMP-002</t>
        </is>
      </c>
      <c r="C16" s="13" t="inlineStr">
        <is>
          <t>Soma Gupta</t>
        </is>
      </c>
      <c r="D16" s="12" t="inlineStr">
        <is>
          <t>LAPL</t>
        </is>
      </c>
      <c r="E16" s="13" t="inlineStr">
        <is>
          <t>Gurgaon</t>
        </is>
      </c>
      <c r="F16" s="14" t="n">
        <v>25000</v>
      </c>
      <c r="G16" s="12" t="n">
        <v>9</v>
      </c>
      <c r="H16" s="16">
        <f>F16/(31*G16)</f>
        <v/>
      </c>
      <c r="I16" s="12" t="n">
        <v>22</v>
      </c>
      <c r="J16" s="12" t="n">
        <v>3</v>
      </c>
      <c r="K16" s="12" t="inlineStr">
        <is>
          <t>205:04</t>
        </is>
      </c>
      <c r="L16" s="12" t="inlineStr">
        <is>
          <t>241:04</t>
        </is>
      </c>
    </row>
    <row r="17">
      <c r="A17" s="5" t="n">
        <v>13</v>
      </c>
      <c r="B17" s="6" t="inlineStr">
        <is>
          <t>EMP-001</t>
        </is>
      </c>
      <c r="C17" s="6" t="inlineStr">
        <is>
          <t>Tarachand Rawat</t>
        </is>
      </c>
      <c r="D17" s="5" t="inlineStr">
        <is>
          <t>LAPL</t>
        </is>
      </c>
      <c r="E17" s="6" t="inlineStr">
        <is>
          <t>Palra Warehouse</t>
        </is>
      </c>
      <c r="F17" s="7" t="n">
        <v>15500</v>
      </c>
      <c r="G17" s="5" t="n">
        <v>10</v>
      </c>
      <c r="H17" s="9">
        <f>F17/(31*G17)</f>
        <v/>
      </c>
      <c r="I17" s="5" t="n">
        <v>24</v>
      </c>
      <c r="J17" s="5" t="n">
        <v>2</v>
      </c>
      <c r="K17" s="5" t="inlineStr">
        <is>
          <t>241:17</t>
        </is>
      </c>
      <c r="L17" s="5" t="inlineStr">
        <is>
          <t>281:17</t>
        </is>
      </c>
    </row>
    <row r="18">
      <c r="A18" s="12" t="n">
        <v>14</v>
      </c>
      <c r="B18" s="13" t="inlineStr">
        <is>
          <t>EMP-102</t>
        </is>
      </c>
      <c r="C18" s="13" t="inlineStr">
        <is>
          <t>Ugam</t>
        </is>
      </c>
      <c r="D18" s="12" t="inlineStr">
        <is>
          <t>LAPL</t>
        </is>
      </c>
      <c r="E18" s="13" t="inlineStr">
        <is>
          <t>Palra Warehouse</t>
        </is>
      </c>
      <c r="F18" s="14" t="n">
        <v>18000</v>
      </c>
      <c r="G18" s="12" t="n">
        <v>10</v>
      </c>
      <c r="H18" s="16">
        <f>F18/(31*G18)</f>
        <v/>
      </c>
      <c r="I18" s="12" t="n">
        <v>25</v>
      </c>
      <c r="J18" s="12" t="n">
        <v>2</v>
      </c>
      <c r="K18" s="12" t="inlineStr">
        <is>
          <t>244:16</t>
        </is>
      </c>
      <c r="L18" s="12" t="inlineStr">
        <is>
          <t>284:16</t>
        </is>
      </c>
    </row>
    <row r="19">
      <c r="A19" s="5" t="n">
        <v>15</v>
      </c>
      <c r="B19" s="6" t="inlineStr">
        <is>
          <t>EMP-440</t>
        </is>
      </c>
      <c r="C19" s="6" t="inlineStr">
        <is>
          <t>nandini nayak</t>
        </is>
      </c>
      <c r="D19" s="5" t="inlineStr">
        <is>
          <t>LAPL</t>
        </is>
      </c>
      <c r="E19" s="6" t="inlineStr">
        <is>
          <t>Ajmer</t>
        </is>
      </c>
      <c r="F19" s="7" t="n">
        <v>12000</v>
      </c>
      <c r="G19" s="5" t="n">
        <v>9</v>
      </c>
      <c r="H19" s="9">
        <f>F19/(31*G19)</f>
        <v/>
      </c>
      <c r="I19" s="5" t="n">
        <v>0</v>
      </c>
      <c r="J19" s="5" t="n">
        <v>27</v>
      </c>
      <c r="K19" s="5" t="inlineStr">
        <is>
          <t>0:00</t>
        </is>
      </c>
      <c r="L19" s="5" t="inlineStr">
        <is>
          <t>36:00</t>
        </is>
      </c>
    </row>
    <row r="20">
      <c r="A20" s="12" t="n">
        <v>16</v>
      </c>
      <c r="B20" s="13" t="inlineStr">
        <is>
          <t>EMP-330</t>
        </is>
      </c>
      <c r="C20" s="13" t="inlineStr">
        <is>
          <t>Anil</t>
        </is>
      </c>
      <c r="D20" s="12" t="inlineStr">
        <is>
          <t>LRSL</t>
        </is>
      </c>
      <c r="E20" s="13" t="inlineStr">
        <is>
          <t>Roofing Factory</t>
        </is>
      </c>
      <c r="F20" s="14" t="n">
        <v>13950</v>
      </c>
      <c r="G20" s="12" t="n">
        <v>9</v>
      </c>
      <c r="H20" s="16">
        <f>F20/(31*G20)</f>
        <v/>
      </c>
      <c r="I20" s="12" t="n">
        <v>16</v>
      </c>
      <c r="J20" s="12" t="n">
        <v>11</v>
      </c>
      <c r="K20" s="12" t="inlineStr">
        <is>
          <t>143:19</t>
        </is>
      </c>
      <c r="L20" s="12" t="inlineStr">
        <is>
          <t>179:19</t>
        </is>
      </c>
    </row>
    <row r="21">
      <c r="A21" s="5" t="n">
        <v>17</v>
      </c>
      <c r="B21" s="6" t="inlineStr">
        <is>
          <t>EMP-423</t>
        </is>
      </c>
      <c r="C21" s="6" t="inlineStr">
        <is>
          <t>Arjun Udaywal</t>
        </is>
      </c>
      <c r="D21" s="5" t="inlineStr">
        <is>
          <t>LRSL</t>
        </is>
      </c>
      <c r="E21" s="6" t="inlineStr">
        <is>
          <t>Ajmer</t>
        </is>
      </c>
      <c r="F21" s="7" t="n">
        <v>23000</v>
      </c>
      <c r="G21" s="5" t="n">
        <v>9</v>
      </c>
      <c r="H21" s="9">
        <f>F21/(31*G21)</f>
        <v/>
      </c>
      <c r="I21" s="5" t="n">
        <v>27</v>
      </c>
      <c r="J21" s="5" t="n">
        <v>0</v>
      </c>
      <c r="K21" s="5" t="inlineStr">
        <is>
          <t>248:35</t>
        </is>
      </c>
      <c r="L21" s="5" t="inlineStr">
        <is>
          <t>284:35</t>
        </is>
      </c>
    </row>
    <row r="22">
      <c r="A22" s="12" t="n">
        <v>18</v>
      </c>
      <c r="B22" s="13" t="inlineStr">
        <is>
          <t>EMP-420</t>
        </is>
      </c>
      <c r="C22" s="13" t="inlineStr">
        <is>
          <t>Arti Sharma</t>
        </is>
      </c>
      <c r="D22" s="12" t="inlineStr">
        <is>
          <t>LRSL</t>
        </is>
      </c>
      <c r="E22" s="13" t="inlineStr">
        <is>
          <t>Ajmer</t>
        </is>
      </c>
      <c r="F22" s="14" t="n">
        <v>20000</v>
      </c>
      <c r="G22" s="12" t="n">
        <v>9</v>
      </c>
      <c r="H22" s="16">
        <f>F22/(31*G22)</f>
        <v/>
      </c>
      <c r="I22" s="12" t="n">
        <v>26</v>
      </c>
      <c r="J22" s="12" t="n">
        <v>1</v>
      </c>
      <c r="K22" s="12" t="inlineStr">
        <is>
          <t>236:01</t>
        </is>
      </c>
      <c r="L22" s="12" t="inlineStr">
        <is>
          <t>272:01</t>
        </is>
      </c>
    </row>
    <row r="23">
      <c r="A23" s="5" t="n">
        <v>19</v>
      </c>
      <c r="B23" s="6" t="inlineStr">
        <is>
          <t>EMP-331</t>
        </is>
      </c>
      <c r="C23" s="6" t="inlineStr">
        <is>
          <t>Bhagchand</t>
        </is>
      </c>
      <c r="D23" s="5" t="inlineStr">
        <is>
          <t>LRSL</t>
        </is>
      </c>
      <c r="E23" s="6" t="inlineStr">
        <is>
          <t>Roofing Factory</t>
        </is>
      </c>
      <c r="F23" s="7" t="n">
        <v>16500</v>
      </c>
      <c r="G23" s="5" t="n">
        <v>10</v>
      </c>
      <c r="H23" s="9">
        <f>F23/(31*G23)</f>
        <v/>
      </c>
      <c r="I23" s="5" t="n">
        <v>0</v>
      </c>
      <c r="J23" s="5" t="n">
        <v>27</v>
      </c>
      <c r="K23" s="5" t="inlineStr">
        <is>
          <t>0:00</t>
        </is>
      </c>
      <c r="L23" s="5" t="inlineStr">
        <is>
          <t>40:00</t>
        </is>
      </c>
    </row>
    <row r="24">
      <c r="A24" s="12" t="n">
        <v>20</v>
      </c>
      <c r="B24" s="13" t="inlineStr">
        <is>
          <t>EMP-429</t>
        </is>
      </c>
      <c r="C24" s="13" t="inlineStr">
        <is>
          <t>Girish Shani</t>
        </is>
      </c>
      <c r="D24" s="12" t="inlineStr">
        <is>
          <t>LRSL</t>
        </is>
      </c>
      <c r="E24" s="13" t="inlineStr">
        <is>
          <t>Ajmer</t>
        </is>
      </c>
      <c r="F24" s="14" t="n">
        <v>15000</v>
      </c>
      <c r="G24" s="12" t="n">
        <v>9</v>
      </c>
      <c r="H24" s="16">
        <f>F24/(31*G24)</f>
        <v/>
      </c>
      <c r="I24" s="12" t="n">
        <v>10</v>
      </c>
      <c r="J24" s="12" t="n">
        <v>17</v>
      </c>
      <c r="K24" s="12" t="inlineStr">
        <is>
          <t>90:16</t>
        </is>
      </c>
      <c r="L24" s="12" t="inlineStr">
        <is>
          <t>126:16</t>
        </is>
      </c>
    </row>
    <row r="25">
      <c r="A25" s="5" t="n">
        <v>21</v>
      </c>
      <c r="B25" s="6" t="inlineStr">
        <is>
          <t>EMP-333</t>
        </is>
      </c>
      <c r="C25" s="6" t="inlineStr">
        <is>
          <t>Gori Rawat</t>
        </is>
      </c>
      <c r="D25" s="5" t="inlineStr">
        <is>
          <t>LRSL</t>
        </is>
      </c>
      <c r="E25" s="6" t="inlineStr">
        <is>
          <t>Roofing Factory</t>
        </is>
      </c>
      <c r="F25" s="7" t="n">
        <v>11500</v>
      </c>
      <c r="G25" s="5" t="n">
        <v>9</v>
      </c>
      <c r="H25" s="9">
        <f>F25/(31*G25)</f>
        <v/>
      </c>
      <c r="I25" s="5" t="n">
        <v>0</v>
      </c>
      <c r="J25" s="5" t="n">
        <v>27</v>
      </c>
      <c r="K25" s="5" t="inlineStr">
        <is>
          <t>0:00</t>
        </is>
      </c>
      <c r="L25" s="5" t="inlineStr">
        <is>
          <t>36:00</t>
        </is>
      </c>
    </row>
    <row r="26">
      <c r="A26" s="12" t="n">
        <v>22</v>
      </c>
      <c r="B26" s="13" t="inlineStr">
        <is>
          <t>EMP-007</t>
        </is>
      </c>
      <c r="C26" s="13" t="inlineStr">
        <is>
          <t>Khushboo Manglani</t>
        </is>
      </c>
      <c r="D26" s="12" t="inlineStr">
        <is>
          <t>LRSL</t>
        </is>
      </c>
      <c r="E26" s="13" t="inlineStr">
        <is>
          <t>Ajmer</t>
        </is>
      </c>
      <c r="F26" s="14" t="n">
        <v>18000</v>
      </c>
      <c r="G26" s="12" t="n">
        <v>9</v>
      </c>
      <c r="H26" s="16">
        <f>F26/(31*G26)</f>
        <v/>
      </c>
      <c r="I26" s="12" t="n">
        <v>24</v>
      </c>
      <c r="J26" s="12" t="n">
        <v>2</v>
      </c>
      <c r="K26" s="12" t="inlineStr">
        <is>
          <t>216:51</t>
        </is>
      </c>
      <c r="L26" s="12" t="inlineStr">
        <is>
          <t>252:51</t>
        </is>
      </c>
    </row>
    <row r="27">
      <c r="A27" s="5" t="n">
        <v>23</v>
      </c>
      <c r="B27" s="6" t="inlineStr">
        <is>
          <t>EMP-428</t>
        </is>
      </c>
      <c r="C27" s="6" t="inlineStr">
        <is>
          <t>Mukul Sharma</t>
        </is>
      </c>
      <c r="D27" s="5" t="inlineStr">
        <is>
          <t>LRSL</t>
        </is>
      </c>
      <c r="E27" s="6" t="inlineStr">
        <is>
          <t>Ajmer</t>
        </is>
      </c>
      <c r="F27" s="7" t="n">
        <v>5250</v>
      </c>
      <c r="G27" s="5" t="n">
        <v>9</v>
      </c>
      <c r="H27" s="9">
        <f>F27/(31*G27)</f>
        <v/>
      </c>
      <c r="I27" s="5" t="n">
        <v>24</v>
      </c>
      <c r="J27" s="5" t="n">
        <v>2</v>
      </c>
      <c r="K27" s="5" t="inlineStr">
        <is>
          <t>221:48</t>
        </is>
      </c>
      <c r="L27" s="5" t="inlineStr">
        <is>
          <t>257:48</t>
        </is>
      </c>
    </row>
    <row r="28">
      <c r="A28" s="12" t="n">
        <v>24</v>
      </c>
      <c r="B28" s="13" t="inlineStr">
        <is>
          <t>EMP-306</t>
        </is>
      </c>
      <c r="C28" s="13" t="inlineStr">
        <is>
          <t>Parkash</t>
        </is>
      </c>
      <c r="D28" s="12" t="inlineStr">
        <is>
          <t>LRSL</t>
        </is>
      </c>
      <c r="E28" s="13" t="inlineStr">
        <is>
          <t>Roofing Factory</t>
        </is>
      </c>
      <c r="F28" s="14" t="n">
        <v>12000</v>
      </c>
      <c r="G28" s="12" t="n">
        <v>9</v>
      </c>
      <c r="H28" s="16">
        <f>F28/(31*G28)</f>
        <v/>
      </c>
      <c r="I28" s="12" t="n">
        <v>14</v>
      </c>
      <c r="J28" s="12" t="n">
        <v>13</v>
      </c>
      <c r="K28" s="12" t="inlineStr">
        <is>
          <t>126:13</t>
        </is>
      </c>
      <c r="L28" s="12" t="inlineStr">
        <is>
          <t>162:13</t>
        </is>
      </c>
    </row>
    <row r="29">
      <c r="A29" s="5" t="n">
        <v>25</v>
      </c>
      <c r="B29" s="6" t="inlineStr">
        <is>
          <t>EMP-328</t>
        </is>
      </c>
      <c r="C29" s="6" t="inlineStr">
        <is>
          <t>Pradhan</t>
        </is>
      </c>
      <c r="D29" s="5" t="inlineStr">
        <is>
          <t>LRSL</t>
        </is>
      </c>
      <c r="E29" s="6" t="inlineStr">
        <is>
          <t>Roofing Factory</t>
        </is>
      </c>
      <c r="F29" s="7" t="n">
        <v>13950</v>
      </c>
      <c r="G29" s="5" t="n">
        <v>9</v>
      </c>
      <c r="H29" s="9">
        <f>F29/(31*G29)</f>
        <v/>
      </c>
      <c r="I29" s="5" t="n">
        <v>15</v>
      </c>
      <c r="J29" s="5" t="n">
        <v>12</v>
      </c>
      <c r="K29" s="5" t="inlineStr">
        <is>
          <t>134:59</t>
        </is>
      </c>
      <c r="L29" s="5" t="inlineStr">
        <is>
          <t>170:59</t>
        </is>
      </c>
    </row>
    <row r="30">
      <c r="A30" s="12" t="n">
        <v>26</v>
      </c>
      <c r="B30" s="13" t="inlineStr">
        <is>
          <t>EMP-034</t>
        </is>
      </c>
      <c r="C30" s="13" t="inlineStr">
        <is>
          <t>Prakash</t>
        </is>
      </c>
      <c r="D30" s="12" t="inlineStr">
        <is>
          <t>LRSL</t>
        </is>
      </c>
      <c r="E30" s="13" t="inlineStr">
        <is>
          <t>Ajmer</t>
        </is>
      </c>
      <c r="F30" s="14" t="n">
        <v>60000</v>
      </c>
      <c r="G30" s="12" t="n">
        <v>9</v>
      </c>
      <c r="H30" s="16">
        <f>F30/(31*G30)</f>
        <v/>
      </c>
      <c r="I30" s="12" t="n">
        <v>0</v>
      </c>
      <c r="J30" s="12" t="n">
        <v>6</v>
      </c>
      <c r="K30" s="12" t="inlineStr">
        <is>
          <t>48:00</t>
        </is>
      </c>
      <c r="L30" s="12" t="inlineStr">
        <is>
          <t>84:00</t>
        </is>
      </c>
    </row>
    <row r="31">
      <c r="A31" s="5" t="n">
        <v>27</v>
      </c>
      <c r="B31" s="6" t="inlineStr">
        <is>
          <t>EMP-332</t>
        </is>
      </c>
      <c r="C31" s="6" t="inlineStr">
        <is>
          <t>Raji Devi</t>
        </is>
      </c>
      <c r="D31" s="5" t="inlineStr">
        <is>
          <t>LRSL</t>
        </is>
      </c>
      <c r="E31" s="6" t="inlineStr">
        <is>
          <t>Roofing Factory</t>
        </is>
      </c>
      <c r="F31" s="7" t="n">
        <v>6000</v>
      </c>
      <c r="G31" s="5" t="n">
        <v>4</v>
      </c>
      <c r="H31" s="9">
        <f>F31/(31*G31)</f>
        <v/>
      </c>
      <c r="I31" s="5" t="n">
        <v>0</v>
      </c>
      <c r="J31" s="5" t="n">
        <v>27</v>
      </c>
      <c r="K31" s="5" t="inlineStr">
        <is>
          <t>0:00</t>
        </is>
      </c>
      <c r="L31" s="5" t="inlineStr">
        <is>
          <t>16:00</t>
        </is>
      </c>
    </row>
    <row r="32">
      <c r="A32" s="12" t="n">
        <v>28</v>
      </c>
      <c r="B32" s="13" t="inlineStr">
        <is>
          <t>EMP-327</t>
        </is>
      </c>
      <c r="C32" s="13" t="inlineStr">
        <is>
          <t>Ramprasad</t>
        </is>
      </c>
      <c r="D32" s="12" t="inlineStr">
        <is>
          <t>LRSL</t>
        </is>
      </c>
      <c r="E32" s="13" t="inlineStr">
        <is>
          <t>Roofing Factory</t>
        </is>
      </c>
      <c r="F32" s="14" t="n">
        <v>14000</v>
      </c>
      <c r="G32" s="12" t="n">
        <v>9</v>
      </c>
      <c r="H32" s="16">
        <f>F32/(31*G32)</f>
        <v/>
      </c>
      <c r="I32" s="12" t="n">
        <v>14</v>
      </c>
      <c r="J32" s="12" t="n">
        <v>13</v>
      </c>
      <c r="K32" s="12" t="inlineStr">
        <is>
          <t>126:30</t>
        </is>
      </c>
      <c r="L32" s="12" t="inlineStr">
        <is>
          <t>162:30</t>
        </is>
      </c>
    </row>
    <row r="33">
      <c r="A33" s="5" t="n">
        <v>29</v>
      </c>
      <c r="B33" s="6" t="inlineStr">
        <is>
          <t>EMP-329</t>
        </is>
      </c>
      <c r="C33" s="6" t="inlineStr">
        <is>
          <t>Shaitan</t>
        </is>
      </c>
      <c r="D33" s="5" t="inlineStr">
        <is>
          <t>LRSL</t>
        </is>
      </c>
      <c r="E33" s="6" t="inlineStr">
        <is>
          <t>Roofing Factory</t>
        </is>
      </c>
      <c r="F33" s="7" t="n">
        <v>13950</v>
      </c>
      <c r="G33" s="5" t="n">
        <v>9</v>
      </c>
      <c r="H33" s="9">
        <f>F33/(31*G33)</f>
        <v/>
      </c>
      <c r="I33" s="5" t="n">
        <v>14</v>
      </c>
      <c r="J33" s="5" t="n">
        <v>12</v>
      </c>
      <c r="K33" s="5" t="inlineStr">
        <is>
          <t>124:53</t>
        </is>
      </c>
      <c r="L33" s="5" t="inlineStr">
        <is>
          <t>160:53</t>
        </is>
      </c>
    </row>
    <row r="34">
      <c r="A34" s="12" t="n">
        <v>30</v>
      </c>
      <c r="B34" s="13" t="inlineStr">
        <is>
          <t>EMP-326</t>
        </is>
      </c>
      <c r="C34" s="13" t="inlineStr">
        <is>
          <t>Sitadevi</t>
        </is>
      </c>
      <c r="D34" s="12" t="inlineStr">
        <is>
          <t>LRSL</t>
        </is>
      </c>
      <c r="E34" s="13" t="inlineStr">
        <is>
          <t>Roofing Factory</t>
        </is>
      </c>
      <c r="F34" s="14" t="n">
        <v>10000</v>
      </c>
      <c r="G34" s="12" t="n">
        <v>9</v>
      </c>
      <c r="H34" s="16">
        <f>F34/(31*G34)</f>
        <v/>
      </c>
      <c r="I34" s="12" t="n">
        <v>15</v>
      </c>
      <c r="J34" s="12" t="n">
        <v>12</v>
      </c>
      <c r="K34" s="12" t="inlineStr">
        <is>
          <t>134:37</t>
        </is>
      </c>
      <c r="L34" s="12" t="inlineStr">
        <is>
          <t>170:37</t>
        </is>
      </c>
    </row>
    <row r="35">
      <c r="A35" s="5" t="n">
        <v>31</v>
      </c>
      <c r="B35" s="6" t="inlineStr">
        <is>
          <t>EMP-308</t>
        </is>
      </c>
      <c r="C35" s="6" t="inlineStr">
        <is>
          <t>Swaroopnath</t>
        </is>
      </c>
      <c r="D35" s="5" t="inlineStr">
        <is>
          <t>LRSL</t>
        </is>
      </c>
      <c r="E35" s="6" t="inlineStr">
        <is>
          <t>Ajmer</t>
        </is>
      </c>
      <c r="F35" s="7" t="n">
        <v>18997</v>
      </c>
      <c r="G35" s="5" t="n">
        <v>9</v>
      </c>
      <c r="H35" s="9">
        <f>F35/(31*G35)</f>
        <v/>
      </c>
      <c r="I35" s="5" t="n">
        <v>0</v>
      </c>
      <c r="J35" s="5" t="n">
        <v>27</v>
      </c>
      <c r="K35" s="5" t="inlineStr">
        <is>
          <t>0:00</t>
        </is>
      </c>
      <c r="L35" s="5" t="inlineStr">
        <is>
          <t>36:00</t>
        </is>
      </c>
    </row>
    <row r="36">
      <c r="A36" s="12" t="n">
        <v>32</v>
      </c>
      <c r="B36" s="13" t="inlineStr">
        <is>
          <t>EMP-012</t>
        </is>
      </c>
      <c r="C36" s="13" t="inlineStr">
        <is>
          <t>Raju Gujjar</t>
        </is>
      </c>
      <c r="D36" s="12" t="inlineStr">
        <is>
          <t>SDF</t>
        </is>
      </c>
      <c r="E36" s="13" t="inlineStr">
        <is>
          <t>Ajmer</t>
        </is>
      </c>
      <c r="F36" s="14" t="n">
        <v>11150</v>
      </c>
      <c r="G36" s="12" t="n">
        <v>10</v>
      </c>
      <c r="H36" s="16">
        <f>F36/(31*G36)</f>
        <v/>
      </c>
      <c r="I36" s="12" t="n">
        <v>27</v>
      </c>
      <c r="J36" s="12" t="n">
        <v>0</v>
      </c>
      <c r="K36" s="12" t="inlineStr">
        <is>
          <t>274:33</t>
        </is>
      </c>
      <c r="L36" s="12" t="inlineStr">
        <is>
          <t>314:33</t>
        </is>
      </c>
    </row>
    <row r="37">
      <c r="A37" s="5" t="n">
        <v>33</v>
      </c>
      <c r="B37" s="6" t="inlineStr">
        <is>
          <t>EMP-432</t>
        </is>
      </c>
      <c r="C37" s="6" t="inlineStr">
        <is>
          <t>Reema Bajaj</t>
        </is>
      </c>
      <c r="D37" s="5" t="inlineStr">
        <is>
          <t>SDF</t>
        </is>
      </c>
      <c r="E37" s="6" t="inlineStr">
        <is>
          <t>Ajmer</t>
        </is>
      </c>
      <c r="F37" s="7" t="n">
        <v>100000</v>
      </c>
      <c r="G37" s="5" t="n">
        <v>7</v>
      </c>
      <c r="H37" s="9">
        <f>F37/(31*G37)</f>
        <v/>
      </c>
      <c r="I37" s="5" t="n">
        <v>27</v>
      </c>
      <c r="J37" s="5" t="n">
        <v>0</v>
      </c>
      <c r="K37" s="5" t="inlineStr">
        <is>
          <t>194:11</t>
        </is>
      </c>
      <c r="L37" s="5" t="inlineStr">
        <is>
          <t>222:11</t>
        </is>
      </c>
    </row>
    <row r="38">
      <c r="A38" s="12" t="n">
        <v>34</v>
      </c>
      <c r="B38" s="13" t="inlineStr">
        <is>
          <t>EMP-011</t>
        </is>
      </c>
      <c r="C38" s="13" t="inlineStr">
        <is>
          <t>Reena Gujjar</t>
        </is>
      </c>
      <c r="D38" s="12" t="inlineStr">
        <is>
          <t>SDF</t>
        </is>
      </c>
      <c r="E38" s="13" t="inlineStr">
        <is>
          <t>Ajmer</t>
        </is>
      </c>
      <c r="F38" s="14" t="n">
        <v>5700</v>
      </c>
      <c r="G38" s="12" t="n">
        <v>4</v>
      </c>
      <c r="H38" s="16">
        <f>F38/(31*G38)</f>
        <v/>
      </c>
      <c r="I38" s="12" t="n">
        <v>17</v>
      </c>
      <c r="J38" s="12" t="n">
        <v>7</v>
      </c>
      <c r="K38" s="12" t="inlineStr">
        <is>
          <t>69:59</t>
        </is>
      </c>
      <c r="L38" s="12" t="inlineStr">
        <is>
          <t>85:59</t>
        </is>
      </c>
    </row>
    <row r="39">
      <c r="A39" s="5" t="n">
        <v>35</v>
      </c>
      <c r="B39" s="6" t="inlineStr">
        <is>
          <t>EMP-037</t>
        </is>
      </c>
      <c r="C39" s="6" t="inlineStr">
        <is>
          <t>Reetu Sindal</t>
        </is>
      </c>
      <c r="D39" s="5" t="inlineStr">
        <is>
          <t>SDF</t>
        </is>
      </c>
      <c r="E39" s="6" t="inlineStr">
        <is>
          <t>Ajmer</t>
        </is>
      </c>
      <c r="F39" s="7" t="n">
        <v>10000</v>
      </c>
      <c r="G39" s="5" t="n">
        <v>9</v>
      </c>
      <c r="H39" s="9">
        <f>F39/(31*G39)</f>
        <v/>
      </c>
      <c r="I39" s="5" t="n">
        <v>24</v>
      </c>
      <c r="J39" s="5" t="n">
        <v>3</v>
      </c>
      <c r="K39" s="5" t="inlineStr">
        <is>
          <t>214:01</t>
        </is>
      </c>
      <c r="L39" s="5" t="inlineStr">
        <is>
          <t>250:01</t>
        </is>
      </c>
    </row>
    <row r="40">
      <c r="A40" s="12" t="n">
        <v>36</v>
      </c>
      <c r="B40" s="13" t="inlineStr">
        <is>
          <t>EMP-433</t>
        </is>
      </c>
      <c r="C40" s="13" t="inlineStr">
        <is>
          <t>Viram Singh</t>
        </is>
      </c>
      <c r="D40" s="12" t="inlineStr">
        <is>
          <t>SDF</t>
        </is>
      </c>
      <c r="E40" s="13" t="inlineStr">
        <is>
          <t>Ajmer</t>
        </is>
      </c>
      <c r="F40" s="14" t="n">
        <v>17000</v>
      </c>
      <c r="G40" s="12" t="n">
        <v>10</v>
      </c>
      <c r="H40" s="16">
        <f>F40/(31*G40)</f>
        <v/>
      </c>
      <c r="I40" s="12" t="n">
        <v>23</v>
      </c>
      <c r="J40" s="12" t="n">
        <v>4</v>
      </c>
      <c r="K40" s="12" t="inlineStr">
        <is>
          <t>257:08</t>
        </is>
      </c>
      <c r="L40" s="12" t="inlineStr">
        <is>
          <t>297:08</t>
        </is>
      </c>
    </row>
    <row r="41">
      <c r="A41" s="5" t="n">
        <v>37</v>
      </c>
      <c r="B41" s="6" t="inlineStr">
        <is>
          <t>EMP-014</t>
        </is>
      </c>
      <c r="C41" s="6" t="inlineStr">
        <is>
          <t>Anamika Tanwar</t>
        </is>
      </c>
      <c r="D41" s="5" t="inlineStr">
        <is>
          <t>SI</t>
        </is>
      </c>
      <c r="E41" s="6" t="inlineStr">
        <is>
          <t>Ajmer</t>
        </is>
      </c>
      <c r="F41" s="7" t="n">
        <v>14000</v>
      </c>
      <c r="G41" s="5" t="n">
        <v>9</v>
      </c>
      <c r="H41" s="9">
        <f>F41/(31*G41)</f>
        <v/>
      </c>
      <c r="I41" s="5" t="n">
        <v>24</v>
      </c>
      <c r="J41" s="5" t="n">
        <v>2</v>
      </c>
      <c r="K41" s="5" t="inlineStr">
        <is>
          <t>222:58</t>
        </is>
      </c>
      <c r="L41" s="5" t="inlineStr">
        <is>
          <t>258:58</t>
        </is>
      </c>
    </row>
    <row r="42">
      <c r="A42" s="12" t="n">
        <v>38</v>
      </c>
      <c r="B42" s="13" t="inlineStr">
        <is>
          <t>EMP-501</t>
        </is>
      </c>
      <c r="C42" s="13" t="inlineStr">
        <is>
          <t>Arun Mathur</t>
        </is>
      </c>
      <c r="D42" s="12" t="inlineStr">
        <is>
          <t>SI</t>
        </is>
      </c>
      <c r="E42" s="13" t="inlineStr">
        <is>
          <t>Jaipur</t>
        </is>
      </c>
      <c r="F42" s="14" t="n">
        <v>50000</v>
      </c>
      <c r="G42" s="12" t="n">
        <v>9</v>
      </c>
      <c r="H42" s="16">
        <f>F42/(31*G42)</f>
        <v/>
      </c>
      <c r="I42" s="12" t="n">
        <v>22</v>
      </c>
      <c r="J42" s="12" t="n">
        <v>3</v>
      </c>
      <c r="K42" s="12" t="inlineStr">
        <is>
          <t>198:28</t>
        </is>
      </c>
      <c r="L42" s="12" t="inlineStr">
        <is>
          <t>234:28</t>
        </is>
      </c>
    </row>
    <row r="43">
      <c r="A43" s="5" t="n">
        <v>39</v>
      </c>
      <c r="B43" s="6" t="inlineStr">
        <is>
          <t>EMP-026</t>
        </is>
      </c>
      <c r="C43" s="6" t="inlineStr">
        <is>
          <t>Mayank Agarwal</t>
        </is>
      </c>
      <c r="D43" s="5" t="inlineStr">
        <is>
          <t>SI</t>
        </is>
      </c>
      <c r="E43" s="6" t="inlineStr">
        <is>
          <t>Ajmer</t>
        </is>
      </c>
      <c r="F43" s="7" t="n">
        <v>10000</v>
      </c>
      <c r="G43" s="5" t="n">
        <v>1</v>
      </c>
      <c r="H43" s="9">
        <f>F43/(31*G43)</f>
        <v/>
      </c>
      <c r="I43" s="5" t="n">
        <v>21</v>
      </c>
      <c r="J43" s="5" t="n">
        <v>6</v>
      </c>
      <c r="K43" s="5" t="inlineStr">
        <is>
          <t>21:08</t>
        </is>
      </c>
      <c r="L43" s="5" t="inlineStr">
        <is>
          <t>25:08</t>
        </is>
      </c>
    </row>
    <row r="44">
      <c r="A44" s="12" t="n">
        <v>40</v>
      </c>
      <c r="B44" s="13" t="inlineStr">
        <is>
          <t>EMP-504</t>
        </is>
      </c>
      <c r="C44" s="13" t="inlineStr">
        <is>
          <t>Priyanka Shukla</t>
        </is>
      </c>
      <c r="D44" s="12" t="inlineStr">
        <is>
          <t>SI</t>
        </is>
      </c>
      <c r="E44" s="13" t="inlineStr">
        <is>
          <t>Jaipur</t>
        </is>
      </c>
      <c r="F44" s="14" t="n">
        <v>18000</v>
      </c>
      <c r="G44" s="12" t="n">
        <v>9</v>
      </c>
      <c r="H44" s="16">
        <f>F44/(31*G44)</f>
        <v/>
      </c>
      <c r="I44" s="12" t="n">
        <v>23</v>
      </c>
      <c r="J44" s="12" t="n">
        <v>3</v>
      </c>
      <c r="K44" s="12" t="inlineStr">
        <is>
          <t>207:45</t>
        </is>
      </c>
      <c r="L44" s="12" t="inlineStr">
        <is>
          <t>243:45</t>
        </is>
      </c>
    </row>
    <row r="45">
      <c r="A45" s="5" t="n">
        <v>41</v>
      </c>
      <c r="B45" s="6" t="inlineStr">
        <is>
          <t>EMP-033</t>
        </is>
      </c>
      <c r="C45" s="6" t="inlineStr">
        <is>
          <t>Radhika Mehra</t>
        </is>
      </c>
      <c r="D45" s="5" t="inlineStr">
        <is>
          <t>SI</t>
        </is>
      </c>
      <c r="E45" s="6" t="inlineStr">
        <is>
          <t>Ajmer</t>
        </is>
      </c>
      <c r="F45" s="7" t="n">
        <v>12000</v>
      </c>
      <c r="G45" s="5" t="n">
        <v>9</v>
      </c>
      <c r="H45" s="9">
        <f>F45/(31*G45)</f>
        <v/>
      </c>
      <c r="I45" s="5" t="n">
        <v>16</v>
      </c>
      <c r="J45" s="5" t="n">
        <v>11</v>
      </c>
      <c r="K45" s="5" t="inlineStr">
        <is>
          <t>144:51</t>
        </is>
      </c>
      <c r="L45" s="5" t="inlineStr">
        <is>
          <t>180:51</t>
        </is>
      </c>
    </row>
    <row r="46">
      <c r="A46" s="12" t="n">
        <v>42</v>
      </c>
      <c r="B46" s="13" t="inlineStr">
        <is>
          <t>EMP-503</t>
        </is>
      </c>
      <c r="C46" s="13" t="inlineStr">
        <is>
          <t>Sachin Kumar</t>
        </is>
      </c>
      <c r="D46" s="12" t="inlineStr">
        <is>
          <t>SI</t>
        </is>
      </c>
      <c r="E46" s="13" t="inlineStr">
        <is>
          <t>Jaipur</t>
        </is>
      </c>
      <c r="F46" s="14" t="n">
        <v>13000</v>
      </c>
      <c r="G46" s="12" t="n">
        <v>9</v>
      </c>
      <c r="H46" s="16">
        <f>F46/(31*G46)</f>
        <v/>
      </c>
      <c r="I46" s="12" t="n">
        <v>12</v>
      </c>
      <c r="J46" s="12" t="n">
        <v>15</v>
      </c>
      <c r="K46" s="12" t="inlineStr">
        <is>
          <t>107:49</t>
        </is>
      </c>
      <c r="L46" s="12" t="inlineStr">
        <is>
          <t>143:49</t>
        </is>
      </c>
    </row>
    <row r="47">
      <c r="A47" s="19" t="inlineStr"/>
      <c r="B47" s="19" t="n"/>
      <c r="C47" s="19" t="inlineStr">
        <is>
          <t>TOTAL</t>
        </is>
      </c>
      <c r="D47" s="19" t="n"/>
      <c r="E47" s="19" t="n"/>
      <c r="F47" s="23">
        <f>SUM(F5:F46)</f>
        <v/>
      </c>
      <c r="G47" s="19" t="n"/>
      <c r="H47" s="19" t="n"/>
      <c r="I47" s="19">
        <f>SUM(I5:I46)</f>
        <v/>
      </c>
      <c r="J47" s="19">
        <f>SUM(J5:J46)</f>
        <v/>
      </c>
      <c r="K47" s="19" t="n"/>
      <c r="L47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2026-08-07T15:07:51Z</dcterms:created>
  <dcterms:modified xmlns:dcterms="http://purl.org/dc/terms/" xmlns:xsi="http://www.w3.org/2001/XMLSchema-instance" xsi:type="dcterms:W3CDTF">2026-08-07T15:07:52Z</dcterms:modified>
</cp:coreProperties>
</file>