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APL_July_2026_Sal" sheetId="2" state="visible" r:id="rId2"/>
    <sheet xmlns:r="http://schemas.openxmlformats.org/officeDocument/2006/relationships" name="LRSL_July_2026_Sal" sheetId="3" state="visible" r:id="rId3"/>
    <sheet xmlns:r="http://schemas.openxmlformats.org/officeDocument/2006/relationships" name="SDF_July_2026_Sal" sheetId="4" state="visible" r:id="rId4"/>
    <sheet xmlns:r="http://schemas.openxmlformats.org/officeDocument/2006/relationships" name="SI_July_2026_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1F3A5F"/>
      <sz val="10"/>
    </font>
    <font>
      <name val="Calibri"/>
      <i val="1"/>
      <color rgb="00555555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4"/>
      </patternFill>
    </fill>
    <fill>
      <patternFill patternType="solid">
        <fgColor rgb="00FAF5E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16" customWidth="1" min="4" max="4"/>
    <col width="11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14" customWidth="1" min="11" max="11"/>
    <col width="9" customWidth="1" min="12" max="12"/>
  </cols>
  <sheetData>
    <row r="1" ht="28" customHeight="1">
      <c r="A1" s="1" t="inlineStr">
        <is>
          <t>LAXREE GROUP OF COMPANIES — Master Employee List</t>
        </is>
      </c>
    </row>
    <row r="2">
      <c r="A2" s="2" t="inlineStr">
        <is>
          <t>Salary Month: July 2026  |  Days in Month: 31  |  Sundays: 4  |  Holidays: 0  |  Working Days: 27</t>
        </is>
      </c>
    </row>
    <row r="4" ht="32" customHeight="1">
      <c r="A4" s="3" t="inlineStr">
        <is>
          <t>Emp Code</t>
        </is>
      </c>
      <c r="B4" s="3" t="inlineStr">
        <is>
          <t>Full Name</t>
        </is>
      </c>
      <c r="C4" s="3" t="inlineStr">
        <is>
          <t>Firm</t>
        </is>
      </c>
      <c r="D4" s="3" t="inlineStr">
        <is>
          <t>Location</t>
        </is>
      </c>
      <c r="E4" s="3" t="inlineStr">
        <is>
          <t>Salary Type</t>
        </is>
      </c>
      <c r="F4" s="3" t="inlineStr">
        <is>
          <t>Monthly Salary (₹)</t>
        </is>
      </c>
      <c r="G4" s="3" t="inlineStr">
        <is>
          <t>Daily Rate (₹)</t>
        </is>
      </c>
      <c r="H4" s="3" t="inlineStr">
        <is>
          <t>Shift Hrs/Day</t>
        </is>
      </c>
      <c r="I4" s="3" t="inlineStr">
        <is>
          <t>Shift Start</t>
        </is>
      </c>
      <c r="J4" s="3" t="inlineStr">
        <is>
          <t>Shift End</t>
        </is>
      </c>
      <c r="K4" s="3" t="inlineStr">
        <is>
          <t>Employment Type</t>
        </is>
      </c>
      <c r="L4" s="3" t="inlineStr">
        <is>
          <t>Status</t>
        </is>
      </c>
    </row>
    <row r="5">
      <c r="A5" s="4" t="inlineStr">
        <is>
          <t>EMP-436</t>
        </is>
      </c>
      <c r="B5" s="5" t="inlineStr">
        <is>
          <t>Ashish</t>
        </is>
      </c>
      <c r="C5" s="4" t="inlineStr">
        <is>
          <t>LAPL</t>
        </is>
      </c>
      <c r="D5" s="5" t="inlineStr">
        <is>
          <t>Ajmer</t>
        </is>
      </c>
      <c r="E5" s="5" t="inlineStr">
        <is>
          <t>hourly</t>
        </is>
      </c>
      <c r="F5" s="6" t="n">
        <v>25000</v>
      </c>
      <c r="G5" s="4" t="n">
        <v>806.45</v>
      </c>
      <c r="H5" s="4" t="n">
        <v>9</v>
      </c>
      <c r="I5" s="4" t="inlineStr">
        <is>
          <t>10:00</t>
        </is>
      </c>
      <c r="J5" s="4" t="inlineStr">
        <is>
          <t>19:00</t>
        </is>
      </c>
      <c r="K5" s="4" t="inlineStr">
        <is>
          <t>Full Time</t>
        </is>
      </c>
      <c r="L5" s="4" t="inlineStr">
        <is>
          <t>Active</t>
        </is>
      </c>
    </row>
    <row r="6">
      <c r="A6" s="7" t="inlineStr">
        <is>
          <t>EMP-434</t>
        </is>
      </c>
      <c r="B6" s="8" t="inlineStr">
        <is>
          <t>Chaitanaya</t>
        </is>
      </c>
      <c r="C6" s="7" t="inlineStr">
        <is>
          <t>LAPL</t>
        </is>
      </c>
      <c r="D6" s="8" t="inlineStr">
        <is>
          <t>Ajmer</t>
        </is>
      </c>
      <c r="E6" s="8" t="inlineStr">
        <is>
          <t>hourly</t>
        </is>
      </c>
      <c r="F6" s="9" t="n">
        <v>25000</v>
      </c>
      <c r="G6" s="7" t="n">
        <v>806.45</v>
      </c>
      <c r="H6" s="7" t="n">
        <v>9</v>
      </c>
      <c r="I6" s="7" t="inlineStr">
        <is>
          <t>10:00</t>
        </is>
      </c>
      <c r="J6" s="7" t="inlineStr">
        <is>
          <t>19:00</t>
        </is>
      </c>
      <c r="K6" s="7" t="inlineStr">
        <is>
          <t>Full Time</t>
        </is>
      </c>
      <c r="L6" s="7" t="inlineStr">
        <is>
          <t>Active</t>
        </is>
      </c>
    </row>
    <row r="7">
      <c r="A7" s="4" t="inlineStr">
        <is>
          <t>EMP-441</t>
        </is>
      </c>
      <c r="B7" s="5" t="inlineStr">
        <is>
          <t>HONEY JAIN</t>
        </is>
      </c>
      <c r="C7" s="4" t="inlineStr">
        <is>
          <t>LAPL</t>
        </is>
      </c>
      <c r="D7" s="5" t="inlineStr">
        <is>
          <t>Ajmer</t>
        </is>
      </c>
      <c r="E7" s="5" t="inlineStr">
        <is>
          <t>hourly</t>
        </is>
      </c>
      <c r="F7" s="6" t="n">
        <v>18000</v>
      </c>
      <c r="G7" s="4" t="n">
        <v>580.65</v>
      </c>
      <c r="H7" s="4" t="n">
        <v>9</v>
      </c>
      <c r="I7" s="4" t="inlineStr">
        <is>
          <t>10:00</t>
        </is>
      </c>
      <c r="J7" s="4" t="inlineStr">
        <is>
          <t>19:00</t>
        </is>
      </c>
      <c r="K7" s="4" t="inlineStr">
        <is>
          <t>Full Time</t>
        </is>
      </c>
      <c r="L7" s="4" t="inlineStr">
        <is>
          <t>Active</t>
        </is>
      </c>
    </row>
    <row r="8">
      <c r="A8" s="7" t="inlineStr">
        <is>
          <t>EMP-021</t>
        </is>
      </c>
      <c r="B8" s="8" t="inlineStr">
        <is>
          <t>Kamlesh Prajapati</t>
        </is>
      </c>
      <c r="C8" s="7" t="inlineStr">
        <is>
          <t>LAPL</t>
        </is>
      </c>
      <c r="D8" s="8" t="inlineStr">
        <is>
          <t>Ajmer</t>
        </is>
      </c>
      <c r="E8" s="8" t="inlineStr">
        <is>
          <t>hourly</t>
        </is>
      </c>
      <c r="F8" s="9" t="n">
        <v>19000</v>
      </c>
      <c r="G8" s="7" t="n">
        <v>612.9</v>
      </c>
      <c r="H8" s="7" t="n">
        <v>9</v>
      </c>
      <c r="I8" s="7" t="inlineStr">
        <is>
          <t>10:00</t>
        </is>
      </c>
      <c r="J8" s="7" t="inlineStr">
        <is>
          <t>19:00</t>
        </is>
      </c>
      <c r="K8" s="7" t="inlineStr">
        <is>
          <t>Full Time</t>
        </is>
      </c>
      <c r="L8" s="7" t="inlineStr">
        <is>
          <t>Active</t>
        </is>
      </c>
    </row>
    <row r="9">
      <c r="A9" s="4" t="inlineStr">
        <is>
          <t>EMP-431</t>
        </is>
      </c>
      <c r="B9" s="5" t="inlineStr">
        <is>
          <t>Kanishka Devnath</t>
        </is>
      </c>
      <c r="C9" s="4" t="inlineStr">
        <is>
          <t>LAPL</t>
        </is>
      </c>
      <c r="D9" s="5" t="inlineStr">
        <is>
          <t>Ajmer</t>
        </is>
      </c>
      <c r="E9" s="5" t="inlineStr">
        <is>
          <t>hourly</t>
        </is>
      </c>
      <c r="F9" s="6" t="n">
        <v>18000</v>
      </c>
      <c r="G9" s="4" t="n">
        <v>580.65</v>
      </c>
      <c r="H9" s="4" t="n">
        <v>9</v>
      </c>
      <c r="I9" s="4" t="inlineStr">
        <is>
          <t>10:00</t>
        </is>
      </c>
      <c r="J9" s="4" t="inlineStr">
        <is>
          <t>19:00</t>
        </is>
      </c>
      <c r="K9" s="4" t="inlineStr">
        <is>
          <t>Full Time</t>
        </is>
      </c>
      <c r="L9" s="4" t="inlineStr">
        <is>
          <t>Active</t>
        </is>
      </c>
    </row>
    <row r="10">
      <c r="A10" s="7" t="inlineStr">
        <is>
          <t>EMP-438</t>
        </is>
      </c>
      <c r="B10" s="8" t="inlineStr">
        <is>
          <t>Khushi</t>
        </is>
      </c>
      <c r="C10" s="7" t="inlineStr">
        <is>
          <t>LAPL</t>
        </is>
      </c>
      <c r="D10" s="8" t="inlineStr">
        <is>
          <t>Ajmer</t>
        </is>
      </c>
      <c r="E10" s="8" t="inlineStr">
        <is>
          <t>hourly</t>
        </is>
      </c>
      <c r="F10" s="9" t="n">
        <v>15000</v>
      </c>
      <c r="G10" s="7" t="n">
        <v>483.87</v>
      </c>
      <c r="H10" s="7" t="n">
        <v>9</v>
      </c>
      <c r="I10" s="7" t="inlineStr">
        <is>
          <t>10:00</t>
        </is>
      </c>
      <c r="J10" s="7" t="inlineStr">
        <is>
          <t>19:00</t>
        </is>
      </c>
      <c r="K10" s="7" t="inlineStr">
        <is>
          <t>Full Time</t>
        </is>
      </c>
      <c r="L10" s="7" t="inlineStr">
        <is>
          <t>Active</t>
        </is>
      </c>
    </row>
    <row r="11">
      <c r="A11" s="4" t="inlineStr">
        <is>
          <t>EMP-041</t>
        </is>
      </c>
      <c r="B11" s="5" t="inlineStr">
        <is>
          <t>Kulvinder Singh Lamba</t>
        </is>
      </c>
      <c r="C11" s="4" t="inlineStr">
        <is>
          <t>LAPL</t>
        </is>
      </c>
      <c r="D11" s="5" t="inlineStr">
        <is>
          <t>Gurgaon</t>
        </is>
      </c>
      <c r="E11" s="5" t="inlineStr">
        <is>
          <t>hourly</t>
        </is>
      </c>
      <c r="F11" s="6" t="n">
        <v>75000</v>
      </c>
      <c r="G11" s="4" t="n">
        <v>2419.35</v>
      </c>
      <c r="H11" s="4" t="n">
        <v>9</v>
      </c>
      <c r="I11" s="4" t="inlineStr">
        <is>
          <t>10:00</t>
        </is>
      </c>
      <c r="J11" s="4" t="inlineStr">
        <is>
          <t>19:00</t>
        </is>
      </c>
      <c r="K11" s="4" t="inlineStr">
        <is>
          <t>Full Time</t>
        </is>
      </c>
      <c r="L11" s="4" t="inlineStr">
        <is>
          <t>Active</t>
        </is>
      </c>
    </row>
    <row r="12">
      <c r="A12" s="7" t="inlineStr">
        <is>
          <t>EMP-117</t>
        </is>
      </c>
      <c r="B12" s="8" t="inlineStr">
        <is>
          <t>Manish Rawat</t>
        </is>
      </c>
      <c r="C12" s="7" t="inlineStr">
        <is>
          <t>LAPL</t>
        </is>
      </c>
      <c r="D12" s="8" t="inlineStr">
        <is>
          <t>Palra Warehouse</t>
        </is>
      </c>
      <c r="E12" s="8" t="inlineStr">
        <is>
          <t>hourly</t>
        </is>
      </c>
      <c r="F12" s="9" t="n">
        <v>0</v>
      </c>
      <c r="G12" s="7" t="n">
        <v>0</v>
      </c>
      <c r="H12" s="7" t="n">
        <v>10</v>
      </c>
      <c r="I12" s="7" t="inlineStr">
        <is>
          <t>10:00</t>
        </is>
      </c>
      <c r="J12" s="7" t="inlineStr">
        <is>
          <t>20:00</t>
        </is>
      </c>
      <c r="K12" s="7" t="inlineStr">
        <is>
          <t>Full Time</t>
        </is>
      </c>
      <c r="L12" s="7" t="inlineStr">
        <is>
          <t>Active</t>
        </is>
      </c>
    </row>
    <row r="13">
      <c r="A13" s="4" t="inlineStr">
        <is>
          <t>EMP-442</t>
        </is>
      </c>
      <c r="B13" s="5" t="inlineStr">
        <is>
          <t>Priyanka Sharma</t>
        </is>
      </c>
      <c r="C13" s="4" t="inlineStr">
        <is>
          <t>LAPL</t>
        </is>
      </c>
      <c r="D13" s="5" t="inlineStr">
        <is>
          <t>Ajmer</t>
        </is>
      </c>
      <c r="E13" s="5" t="inlineStr">
        <is>
          <t>hourly</t>
        </is>
      </c>
      <c r="F13" s="6" t="n">
        <v>12000</v>
      </c>
      <c r="G13" s="4" t="n">
        <v>387.1</v>
      </c>
      <c r="H13" s="4" t="n">
        <v>9</v>
      </c>
      <c r="I13" s="4" t="inlineStr">
        <is>
          <t>10:00</t>
        </is>
      </c>
      <c r="J13" s="4" t="inlineStr">
        <is>
          <t>19:00</t>
        </is>
      </c>
      <c r="K13" s="4" t="inlineStr">
        <is>
          <t>Full Time</t>
        </is>
      </c>
      <c r="L13" s="4" t="inlineStr">
        <is>
          <t>Active</t>
        </is>
      </c>
    </row>
    <row r="14">
      <c r="A14" s="7" t="inlineStr">
        <is>
          <t>EMP-054</t>
        </is>
      </c>
      <c r="B14" s="8" t="inlineStr">
        <is>
          <t>Ranveer Singh</t>
        </is>
      </c>
      <c r="C14" s="7" t="inlineStr">
        <is>
          <t>LAPL</t>
        </is>
      </c>
      <c r="D14" s="8" t="inlineStr">
        <is>
          <t>Gurgaon</t>
        </is>
      </c>
      <c r="E14" s="8" t="inlineStr">
        <is>
          <t>hourly</t>
        </is>
      </c>
      <c r="F14" s="9" t="n">
        <v>15000</v>
      </c>
      <c r="G14" s="7" t="n">
        <v>483.87</v>
      </c>
      <c r="H14" s="7" t="n">
        <v>9</v>
      </c>
      <c r="I14" s="7" t="inlineStr">
        <is>
          <t>10:00</t>
        </is>
      </c>
      <c r="J14" s="7" t="inlineStr">
        <is>
          <t>19:00</t>
        </is>
      </c>
      <c r="K14" s="7" t="inlineStr">
        <is>
          <t>Full Time</t>
        </is>
      </c>
      <c r="L14" s="7" t="inlineStr">
        <is>
          <t>Active</t>
        </is>
      </c>
    </row>
    <row r="15">
      <c r="A15" s="4" t="inlineStr">
        <is>
          <t>EMP-013</t>
        </is>
      </c>
      <c r="B15" s="5" t="inlineStr">
        <is>
          <t>Saurabh Jangid</t>
        </is>
      </c>
      <c r="C15" s="4" t="inlineStr">
        <is>
          <t>LAPL</t>
        </is>
      </c>
      <c r="D15" s="5" t="inlineStr">
        <is>
          <t>Ajmer</t>
        </is>
      </c>
      <c r="E15" s="5" t="inlineStr">
        <is>
          <t>hourly</t>
        </is>
      </c>
      <c r="F15" s="6" t="n">
        <v>22600</v>
      </c>
      <c r="G15" s="4" t="n">
        <v>729.03</v>
      </c>
      <c r="H15" s="4" t="n">
        <v>9</v>
      </c>
      <c r="I15" s="4" t="inlineStr">
        <is>
          <t>10:00</t>
        </is>
      </c>
      <c r="J15" s="4" t="inlineStr">
        <is>
          <t>19:00</t>
        </is>
      </c>
      <c r="K15" s="4" t="inlineStr">
        <is>
          <t>Full Time</t>
        </is>
      </c>
      <c r="L15" s="4" t="inlineStr">
        <is>
          <t>Active</t>
        </is>
      </c>
    </row>
    <row r="16">
      <c r="A16" s="7" t="inlineStr">
        <is>
          <t>EMP-002</t>
        </is>
      </c>
      <c r="B16" s="8" t="inlineStr">
        <is>
          <t>Soma Gupta</t>
        </is>
      </c>
      <c r="C16" s="7" t="inlineStr">
        <is>
          <t>LAPL</t>
        </is>
      </c>
      <c r="D16" s="8" t="inlineStr">
        <is>
          <t>Gurgaon</t>
        </is>
      </c>
      <c r="E16" s="8" t="inlineStr">
        <is>
          <t>hourly</t>
        </is>
      </c>
      <c r="F16" s="9" t="n">
        <v>25000</v>
      </c>
      <c r="G16" s="7" t="n">
        <v>806.45</v>
      </c>
      <c r="H16" s="7" t="n">
        <v>9</v>
      </c>
      <c r="I16" s="7" t="inlineStr">
        <is>
          <t>10:00</t>
        </is>
      </c>
      <c r="J16" s="7" t="inlineStr">
        <is>
          <t>19:00</t>
        </is>
      </c>
      <c r="K16" s="7" t="inlineStr">
        <is>
          <t>Full Time</t>
        </is>
      </c>
      <c r="L16" s="7" t="inlineStr">
        <is>
          <t>Active</t>
        </is>
      </c>
    </row>
    <row r="17">
      <c r="A17" s="4" t="inlineStr">
        <is>
          <t>EMP-001</t>
        </is>
      </c>
      <c r="B17" s="5" t="inlineStr">
        <is>
          <t>Tarachand Rawat</t>
        </is>
      </c>
      <c r="C17" s="4" t="inlineStr">
        <is>
          <t>LAPL</t>
        </is>
      </c>
      <c r="D17" s="5" t="inlineStr">
        <is>
          <t>Palra Warehouse</t>
        </is>
      </c>
      <c r="E17" s="5" t="inlineStr">
        <is>
          <t>hourly</t>
        </is>
      </c>
      <c r="F17" s="6" t="n">
        <v>15500</v>
      </c>
      <c r="G17" s="4" t="n">
        <v>500</v>
      </c>
      <c r="H17" s="4" t="n">
        <v>10</v>
      </c>
      <c r="I17" s="4" t="inlineStr">
        <is>
          <t>10:00</t>
        </is>
      </c>
      <c r="J17" s="4" t="inlineStr">
        <is>
          <t>20:00</t>
        </is>
      </c>
      <c r="K17" s="4" t="inlineStr">
        <is>
          <t>Full Time</t>
        </is>
      </c>
      <c r="L17" s="4" t="inlineStr">
        <is>
          <t>Active</t>
        </is>
      </c>
    </row>
    <row r="18">
      <c r="A18" s="7" t="inlineStr">
        <is>
          <t>EMP-102</t>
        </is>
      </c>
      <c r="B18" s="8" t="inlineStr">
        <is>
          <t>Ugam</t>
        </is>
      </c>
      <c r="C18" s="7" t="inlineStr">
        <is>
          <t>LAPL</t>
        </is>
      </c>
      <c r="D18" s="8" t="inlineStr">
        <is>
          <t>Palra Warehouse</t>
        </is>
      </c>
      <c r="E18" s="8" t="inlineStr">
        <is>
          <t>daily</t>
        </is>
      </c>
      <c r="F18" s="9" t="n">
        <v>18000</v>
      </c>
      <c r="G18" s="7" t="n">
        <v>580.65</v>
      </c>
      <c r="H18" s="7" t="n">
        <v>10</v>
      </c>
      <c r="I18" s="7" t="inlineStr">
        <is>
          <t>10:00</t>
        </is>
      </c>
      <c r="J18" s="7" t="inlineStr">
        <is>
          <t>20:00</t>
        </is>
      </c>
      <c r="K18" s="7" t="inlineStr">
        <is>
          <t>Full Time</t>
        </is>
      </c>
      <c r="L18" s="7" t="inlineStr">
        <is>
          <t>Active</t>
        </is>
      </c>
    </row>
    <row r="19">
      <c r="A19" s="4" t="inlineStr">
        <is>
          <t>EMP-440</t>
        </is>
      </c>
      <c r="B19" s="5" t="inlineStr">
        <is>
          <t>nandini nayak</t>
        </is>
      </c>
      <c r="C19" s="4" t="inlineStr">
        <is>
          <t>LAPL</t>
        </is>
      </c>
      <c r="D19" s="5" t="inlineStr">
        <is>
          <t>Ajmer</t>
        </is>
      </c>
      <c r="E19" s="5" t="inlineStr">
        <is>
          <t>hourly</t>
        </is>
      </c>
      <c r="F19" s="6" t="n">
        <v>12000</v>
      </c>
      <c r="G19" s="4" t="n">
        <v>387.1</v>
      </c>
      <c r="H19" s="4" t="n">
        <v>9</v>
      </c>
      <c r="I19" s="4" t="inlineStr">
        <is>
          <t>10:00</t>
        </is>
      </c>
      <c r="J19" s="4" t="inlineStr">
        <is>
          <t>19:00</t>
        </is>
      </c>
      <c r="K19" s="4" t="inlineStr">
        <is>
          <t>Full Time</t>
        </is>
      </c>
      <c r="L19" s="4" t="inlineStr">
        <is>
          <t>Active</t>
        </is>
      </c>
    </row>
    <row r="20">
      <c r="A20" s="7" t="inlineStr">
        <is>
          <t>EMP-330</t>
        </is>
      </c>
      <c r="B20" s="8" t="inlineStr">
        <is>
          <t>Anil</t>
        </is>
      </c>
      <c r="C20" s="7" t="inlineStr">
        <is>
          <t>LRSL</t>
        </is>
      </c>
      <c r="D20" s="8" t="inlineStr">
        <is>
          <t>Roofing Factory</t>
        </is>
      </c>
      <c r="E20" s="8" t="inlineStr">
        <is>
          <t>daily</t>
        </is>
      </c>
      <c r="F20" s="9" t="n">
        <v>13950</v>
      </c>
      <c r="G20" s="7" t="n">
        <v>450</v>
      </c>
      <c r="H20" s="7" t="n">
        <v>9</v>
      </c>
      <c r="I20" s="7" t="inlineStr">
        <is>
          <t>09:00</t>
        </is>
      </c>
      <c r="J20" s="7" t="inlineStr">
        <is>
          <t>18:00</t>
        </is>
      </c>
      <c r="K20" s="7" t="inlineStr">
        <is>
          <t>Full Time</t>
        </is>
      </c>
      <c r="L20" s="7" t="inlineStr">
        <is>
          <t>Active</t>
        </is>
      </c>
    </row>
    <row r="21">
      <c r="A21" s="4" t="inlineStr">
        <is>
          <t>EMP-423</t>
        </is>
      </c>
      <c r="B21" s="5" t="inlineStr">
        <is>
          <t>Arjun Udaywal</t>
        </is>
      </c>
      <c r="C21" s="4" t="inlineStr">
        <is>
          <t>LRSL</t>
        </is>
      </c>
      <c r="D21" s="5" t="inlineStr">
        <is>
          <t>Ajmer</t>
        </is>
      </c>
      <c r="E21" s="5" t="inlineStr">
        <is>
          <t>hourly</t>
        </is>
      </c>
      <c r="F21" s="6" t="n">
        <v>23000</v>
      </c>
      <c r="G21" s="4" t="n">
        <v>741.9400000000001</v>
      </c>
      <c r="H21" s="4" t="n">
        <v>9</v>
      </c>
      <c r="I21" s="4" t="inlineStr">
        <is>
          <t>10:00</t>
        </is>
      </c>
      <c r="J21" s="4" t="inlineStr">
        <is>
          <t>19:00</t>
        </is>
      </c>
      <c r="K21" s="4" t="inlineStr">
        <is>
          <t>Full Time</t>
        </is>
      </c>
      <c r="L21" s="4" t="inlineStr">
        <is>
          <t>Active</t>
        </is>
      </c>
    </row>
    <row r="22">
      <c r="A22" s="7" t="inlineStr">
        <is>
          <t>EMP-420</t>
        </is>
      </c>
      <c r="B22" s="8" t="inlineStr">
        <is>
          <t>Arti Sharma</t>
        </is>
      </c>
      <c r="C22" s="7" t="inlineStr">
        <is>
          <t>LRSL</t>
        </is>
      </c>
      <c r="D22" s="8" t="inlineStr">
        <is>
          <t>Ajmer</t>
        </is>
      </c>
      <c r="E22" s="8" t="inlineStr">
        <is>
          <t>hourly</t>
        </is>
      </c>
      <c r="F22" s="9" t="n">
        <v>20000</v>
      </c>
      <c r="G22" s="7" t="n">
        <v>645.16</v>
      </c>
      <c r="H22" s="7" t="n">
        <v>9</v>
      </c>
      <c r="I22" s="7" t="inlineStr">
        <is>
          <t>10:00</t>
        </is>
      </c>
      <c r="J22" s="7" t="inlineStr">
        <is>
          <t>19:00</t>
        </is>
      </c>
      <c r="K22" s="7" t="inlineStr">
        <is>
          <t>Full Time</t>
        </is>
      </c>
      <c r="L22" s="7" t="inlineStr">
        <is>
          <t>Active</t>
        </is>
      </c>
    </row>
    <row r="23">
      <c r="A23" s="4" t="inlineStr">
        <is>
          <t>EMP-331</t>
        </is>
      </c>
      <c r="B23" s="5" t="inlineStr">
        <is>
          <t>Bhagchand</t>
        </is>
      </c>
      <c r="C23" s="4" t="inlineStr">
        <is>
          <t>LRSL</t>
        </is>
      </c>
      <c r="D23" s="5" t="inlineStr">
        <is>
          <t>Roofing Factory</t>
        </is>
      </c>
      <c r="E23" s="5" t="inlineStr">
        <is>
          <t>hourly</t>
        </is>
      </c>
      <c r="F23" s="6" t="n">
        <v>16500</v>
      </c>
      <c r="G23" s="4" t="n">
        <v>532.26</v>
      </c>
      <c r="H23" s="4" t="n">
        <v>10</v>
      </c>
      <c r="I23" s="4" t="inlineStr">
        <is>
          <t>09:00</t>
        </is>
      </c>
      <c r="J23" s="4" t="inlineStr">
        <is>
          <t>19:00</t>
        </is>
      </c>
      <c r="K23" s="4" t="inlineStr">
        <is>
          <t>Full Time</t>
        </is>
      </c>
      <c r="L23" s="4" t="inlineStr">
        <is>
          <t>Active</t>
        </is>
      </c>
    </row>
    <row r="24">
      <c r="A24" s="7" t="inlineStr">
        <is>
          <t>EMP-429</t>
        </is>
      </c>
      <c r="B24" s="8" t="inlineStr">
        <is>
          <t>Girish Shani</t>
        </is>
      </c>
      <c r="C24" s="7" t="inlineStr">
        <is>
          <t>LRSL</t>
        </is>
      </c>
      <c r="D24" s="8" t="inlineStr">
        <is>
          <t>Ajmer</t>
        </is>
      </c>
      <c r="E24" s="8" t="inlineStr">
        <is>
          <t>hourly</t>
        </is>
      </c>
      <c r="F24" s="9" t="n">
        <v>15000</v>
      </c>
      <c r="G24" s="7" t="n">
        <v>483.87</v>
      </c>
      <c r="H24" s="7" t="n">
        <v>9</v>
      </c>
      <c r="I24" s="7" t="inlineStr">
        <is>
          <t>10:00</t>
        </is>
      </c>
      <c r="J24" s="7" t="inlineStr">
        <is>
          <t>19:00</t>
        </is>
      </c>
      <c r="K24" s="7" t="inlineStr">
        <is>
          <t>Full Time</t>
        </is>
      </c>
      <c r="L24" s="7" t="inlineStr">
        <is>
          <t>Active</t>
        </is>
      </c>
    </row>
    <row r="25">
      <c r="A25" s="4" t="inlineStr">
        <is>
          <t>EMP-333</t>
        </is>
      </c>
      <c r="B25" s="5" t="inlineStr">
        <is>
          <t>Gori Rawat</t>
        </is>
      </c>
      <c r="C25" s="4" t="inlineStr">
        <is>
          <t>LRSL</t>
        </is>
      </c>
      <c r="D25" s="5" t="inlineStr">
        <is>
          <t>Roofing Factory</t>
        </is>
      </c>
      <c r="E25" s="5" t="inlineStr">
        <is>
          <t>hourly</t>
        </is>
      </c>
      <c r="F25" s="6" t="n">
        <v>11500</v>
      </c>
      <c r="G25" s="4" t="n">
        <v>370.97</v>
      </c>
      <c r="H25" s="4" t="n">
        <v>9</v>
      </c>
      <c r="I25" s="4" t="inlineStr">
        <is>
          <t>09:00</t>
        </is>
      </c>
      <c r="J25" s="4" t="inlineStr">
        <is>
          <t>18:00</t>
        </is>
      </c>
      <c r="K25" s="4" t="inlineStr">
        <is>
          <t>Full Time</t>
        </is>
      </c>
      <c r="L25" s="4" t="inlineStr">
        <is>
          <t>Active</t>
        </is>
      </c>
    </row>
    <row r="26">
      <c r="A26" s="7" t="inlineStr">
        <is>
          <t>EMP-007</t>
        </is>
      </c>
      <c r="B26" s="8" t="inlineStr">
        <is>
          <t>Khushboo Manglani</t>
        </is>
      </c>
      <c r="C26" s="7" t="inlineStr">
        <is>
          <t>LRSL</t>
        </is>
      </c>
      <c r="D26" s="8" t="inlineStr">
        <is>
          <t>Ajmer</t>
        </is>
      </c>
      <c r="E26" s="8" t="inlineStr">
        <is>
          <t>hourly</t>
        </is>
      </c>
      <c r="F26" s="9" t="n">
        <v>18000</v>
      </c>
      <c r="G26" s="7" t="n">
        <v>580.65</v>
      </c>
      <c r="H26" s="7" t="n">
        <v>9</v>
      </c>
      <c r="I26" s="7" t="inlineStr">
        <is>
          <t>10:00</t>
        </is>
      </c>
      <c r="J26" s="7" t="inlineStr">
        <is>
          <t>19:00</t>
        </is>
      </c>
      <c r="K26" s="7" t="inlineStr">
        <is>
          <t>Full Time</t>
        </is>
      </c>
      <c r="L26" s="7" t="inlineStr">
        <is>
          <t>Active</t>
        </is>
      </c>
    </row>
    <row r="27">
      <c r="A27" s="4" t="inlineStr">
        <is>
          <t>EMP-428</t>
        </is>
      </c>
      <c r="B27" s="5" t="inlineStr">
        <is>
          <t>Mukul Sharma</t>
        </is>
      </c>
      <c r="C27" s="4" t="inlineStr">
        <is>
          <t>LRSL</t>
        </is>
      </c>
      <c r="D27" s="5" t="inlineStr">
        <is>
          <t>Ajmer</t>
        </is>
      </c>
      <c r="E27" s="5" t="inlineStr">
        <is>
          <t>hourly</t>
        </is>
      </c>
      <c r="F27" s="6" t="n">
        <v>5250</v>
      </c>
      <c r="G27" s="4" t="n">
        <v>169.35</v>
      </c>
      <c r="H27" s="4" t="n">
        <v>9</v>
      </c>
      <c r="I27" s="4" t="inlineStr">
        <is>
          <t>10:00</t>
        </is>
      </c>
      <c r="J27" s="4" t="inlineStr">
        <is>
          <t>19:00</t>
        </is>
      </c>
      <c r="K27" s="4" t="inlineStr">
        <is>
          <t>Full Time</t>
        </is>
      </c>
      <c r="L27" s="4" t="inlineStr">
        <is>
          <t>Active</t>
        </is>
      </c>
    </row>
    <row r="28">
      <c r="A28" s="7" t="inlineStr">
        <is>
          <t>EMP-306</t>
        </is>
      </c>
      <c r="B28" s="8" t="inlineStr">
        <is>
          <t>Parkash</t>
        </is>
      </c>
      <c r="C28" s="7" t="inlineStr">
        <is>
          <t>LRSL</t>
        </is>
      </c>
      <c r="D28" s="8" t="inlineStr">
        <is>
          <t>Roofing Factory</t>
        </is>
      </c>
      <c r="E28" s="8" t="inlineStr">
        <is>
          <t>daily</t>
        </is>
      </c>
      <c r="F28" s="9" t="n">
        <v>12000</v>
      </c>
      <c r="G28" s="7" t="n">
        <v>387.1</v>
      </c>
      <c r="H28" s="7" t="n">
        <v>9</v>
      </c>
      <c r="I28" s="7" t="inlineStr">
        <is>
          <t>09:00</t>
        </is>
      </c>
      <c r="J28" s="7" t="inlineStr">
        <is>
          <t>18:00</t>
        </is>
      </c>
      <c r="K28" s="7" t="inlineStr">
        <is>
          <t>Full Time</t>
        </is>
      </c>
      <c r="L28" s="7" t="inlineStr">
        <is>
          <t>Active</t>
        </is>
      </c>
    </row>
    <row r="29">
      <c r="A29" s="4" t="inlineStr">
        <is>
          <t>EMP-328</t>
        </is>
      </c>
      <c r="B29" s="5" t="inlineStr">
        <is>
          <t>Pradhan</t>
        </is>
      </c>
      <c r="C29" s="4" t="inlineStr">
        <is>
          <t>LRSL</t>
        </is>
      </c>
      <c r="D29" s="5" t="inlineStr">
        <is>
          <t>Roofing Factory</t>
        </is>
      </c>
      <c r="E29" s="5" t="inlineStr">
        <is>
          <t>daily</t>
        </is>
      </c>
      <c r="F29" s="6" t="n">
        <v>13950</v>
      </c>
      <c r="G29" s="4" t="n">
        <v>450</v>
      </c>
      <c r="H29" s="4" t="n">
        <v>9</v>
      </c>
      <c r="I29" s="4" t="inlineStr">
        <is>
          <t>09:00</t>
        </is>
      </c>
      <c r="J29" s="4" t="inlineStr">
        <is>
          <t>18:00</t>
        </is>
      </c>
      <c r="K29" s="4" t="inlineStr">
        <is>
          <t>Full Time</t>
        </is>
      </c>
      <c r="L29" s="4" t="inlineStr">
        <is>
          <t>Active</t>
        </is>
      </c>
    </row>
    <row r="30">
      <c r="A30" s="7" t="inlineStr">
        <is>
          <t>EMP-034</t>
        </is>
      </c>
      <c r="B30" s="8" t="inlineStr">
        <is>
          <t>Prakash</t>
        </is>
      </c>
      <c r="C30" s="7" t="inlineStr">
        <is>
          <t>LRSL</t>
        </is>
      </c>
      <c r="D30" s="8" t="inlineStr">
        <is>
          <t>Ajmer</t>
        </is>
      </c>
      <c r="E30" s="8" t="inlineStr">
        <is>
          <t>hourly</t>
        </is>
      </c>
      <c r="F30" s="9" t="n">
        <v>60000</v>
      </c>
      <c r="G30" s="7" t="n">
        <v>1935.48</v>
      </c>
      <c r="H30" s="7" t="n">
        <v>9</v>
      </c>
      <c r="I30" s="7" t="inlineStr">
        <is>
          <t>10:00</t>
        </is>
      </c>
      <c r="J30" s="7" t="inlineStr">
        <is>
          <t>19:00</t>
        </is>
      </c>
      <c r="K30" s="7" t="inlineStr">
        <is>
          <t>Part Time</t>
        </is>
      </c>
      <c r="L30" s="7" t="inlineStr">
        <is>
          <t>Active</t>
        </is>
      </c>
    </row>
    <row r="31">
      <c r="A31" s="4" t="inlineStr">
        <is>
          <t>EMP-332</t>
        </is>
      </c>
      <c r="B31" s="5" t="inlineStr">
        <is>
          <t>Raji Devi</t>
        </is>
      </c>
      <c r="C31" s="4" t="inlineStr">
        <is>
          <t>LRSL</t>
        </is>
      </c>
      <c r="D31" s="5" t="inlineStr">
        <is>
          <t>Roofing Factory</t>
        </is>
      </c>
      <c r="E31" s="5" t="inlineStr">
        <is>
          <t>hourly</t>
        </is>
      </c>
      <c r="F31" s="6" t="n">
        <v>6000</v>
      </c>
      <c r="G31" s="4" t="n">
        <v>193.55</v>
      </c>
      <c r="H31" s="4" t="n">
        <v>4</v>
      </c>
      <c r="I31" s="4" t="inlineStr">
        <is>
          <t>09:00</t>
        </is>
      </c>
      <c r="J31" s="4" t="inlineStr">
        <is>
          <t>13:00</t>
        </is>
      </c>
      <c r="K31" s="4" t="inlineStr">
        <is>
          <t>Full Time</t>
        </is>
      </c>
      <c r="L31" s="4" t="inlineStr">
        <is>
          <t>Active</t>
        </is>
      </c>
    </row>
    <row r="32">
      <c r="A32" s="7" t="inlineStr">
        <is>
          <t>EMP-327</t>
        </is>
      </c>
      <c r="B32" s="8" t="inlineStr">
        <is>
          <t>Ramprasad</t>
        </is>
      </c>
      <c r="C32" s="7" t="inlineStr">
        <is>
          <t>LRSL</t>
        </is>
      </c>
      <c r="D32" s="8" t="inlineStr">
        <is>
          <t>Roofing Factory</t>
        </is>
      </c>
      <c r="E32" s="8" t="inlineStr">
        <is>
          <t>daily</t>
        </is>
      </c>
      <c r="F32" s="9" t="n">
        <v>14000</v>
      </c>
      <c r="G32" s="7" t="n">
        <v>451.61</v>
      </c>
      <c r="H32" s="7" t="n">
        <v>9</v>
      </c>
      <c r="I32" s="7" t="inlineStr">
        <is>
          <t>09:00</t>
        </is>
      </c>
      <c r="J32" s="7" t="inlineStr">
        <is>
          <t>18:00</t>
        </is>
      </c>
      <c r="K32" s="7" t="inlineStr">
        <is>
          <t>Full Time</t>
        </is>
      </c>
      <c r="L32" s="7" t="inlineStr">
        <is>
          <t>Active</t>
        </is>
      </c>
    </row>
    <row r="33">
      <c r="A33" s="4" t="inlineStr">
        <is>
          <t>EMP-329</t>
        </is>
      </c>
      <c r="B33" s="5" t="inlineStr">
        <is>
          <t>Shaitan</t>
        </is>
      </c>
      <c r="C33" s="4" t="inlineStr">
        <is>
          <t>LRSL</t>
        </is>
      </c>
      <c r="D33" s="5" t="inlineStr">
        <is>
          <t>Roofing Factory</t>
        </is>
      </c>
      <c r="E33" s="5" t="inlineStr">
        <is>
          <t>daily</t>
        </is>
      </c>
      <c r="F33" s="6" t="n">
        <v>13950</v>
      </c>
      <c r="G33" s="4" t="n">
        <v>450</v>
      </c>
      <c r="H33" s="4" t="n">
        <v>9</v>
      </c>
      <c r="I33" s="4" t="inlineStr">
        <is>
          <t>09:00</t>
        </is>
      </c>
      <c r="J33" s="4" t="inlineStr">
        <is>
          <t>18:00</t>
        </is>
      </c>
      <c r="K33" s="4" t="inlineStr">
        <is>
          <t>Full Time</t>
        </is>
      </c>
      <c r="L33" s="4" t="inlineStr">
        <is>
          <t>Active</t>
        </is>
      </c>
    </row>
    <row r="34">
      <c r="A34" s="7" t="inlineStr">
        <is>
          <t>EMP-326</t>
        </is>
      </c>
      <c r="B34" s="8" t="inlineStr">
        <is>
          <t>Sitadevi</t>
        </is>
      </c>
      <c r="C34" s="7" t="inlineStr">
        <is>
          <t>LRSL</t>
        </is>
      </c>
      <c r="D34" s="8" t="inlineStr">
        <is>
          <t>Roofing Factory</t>
        </is>
      </c>
      <c r="E34" s="8" t="inlineStr">
        <is>
          <t>daily</t>
        </is>
      </c>
      <c r="F34" s="9" t="n">
        <v>10000</v>
      </c>
      <c r="G34" s="7" t="n">
        <v>322.58</v>
      </c>
      <c r="H34" s="7" t="n">
        <v>9</v>
      </c>
      <c r="I34" s="7" t="inlineStr">
        <is>
          <t>09:00</t>
        </is>
      </c>
      <c r="J34" s="7" t="inlineStr">
        <is>
          <t>18:00</t>
        </is>
      </c>
      <c r="K34" s="7" t="inlineStr">
        <is>
          <t>Full Time</t>
        </is>
      </c>
      <c r="L34" s="7" t="inlineStr">
        <is>
          <t>Active</t>
        </is>
      </c>
    </row>
    <row r="35">
      <c r="A35" s="4" t="inlineStr">
        <is>
          <t>EMP-308</t>
        </is>
      </c>
      <c r="B35" s="5" t="inlineStr">
        <is>
          <t>Swaroopnath</t>
        </is>
      </c>
      <c r="C35" s="4" t="inlineStr">
        <is>
          <t>LRSL</t>
        </is>
      </c>
      <c r="D35" s="5" t="inlineStr">
        <is>
          <t>Ajmer</t>
        </is>
      </c>
      <c r="E35" s="5" t="inlineStr">
        <is>
          <t>daily</t>
        </is>
      </c>
      <c r="F35" s="6" t="n">
        <v>18997</v>
      </c>
      <c r="G35" s="4" t="n">
        <v>612.8099999999999</v>
      </c>
      <c r="H35" s="4" t="n">
        <v>9</v>
      </c>
      <c r="I35" s="4" t="inlineStr">
        <is>
          <t>09:00</t>
        </is>
      </c>
      <c r="J35" s="4" t="inlineStr">
        <is>
          <t>18:00</t>
        </is>
      </c>
      <c r="K35" s="4" t="inlineStr">
        <is>
          <t>Full Time</t>
        </is>
      </c>
      <c r="L35" s="4" t="inlineStr">
        <is>
          <t>Active</t>
        </is>
      </c>
    </row>
    <row r="36">
      <c r="A36" s="7" t="inlineStr">
        <is>
          <t>EMP-012</t>
        </is>
      </c>
      <c r="B36" s="8" t="inlineStr">
        <is>
          <t>Raju Gujjar</t>
        </is>
      </c>
      <c r="C36" s="7" t="inlineStr">
        <is>
          <t>SDF</t>
        </is>
      </c>
      <c r="D36" s="8" t="inlineStr">
        <is>
          <t>Ajmer</t>
        </is>
      </c>
      <c r="E36" s="8" t="inlineStr">
        <is>
          <t>hourly</t>
        </is>
      </c>
      <c r="F36" s="9" t="n">
        <v>11150</v>
      </c>
      <c r="G36" s="7" t="n">
        <v>359.68</v>
      </c>
      <c r="H36" s="7" t="n">
        <v>10</v>
      </c>
      <c r="I36" s="7" t="inlineStr">
        <is>
          <t>10:00</t>
        </is>
      </c>
      <c r="J36" s="7" t="inlineStr">
        <is>
          <t>20:00</t>
        </is>
      </c>
      <c r="K36" s="7" t="inlineStr">
        <is>
          <t>Full Time</t>
        </is>
      </c>
      <c r="L36" s="7" t="inlineStr">
        <is>
          <t>Active</t>
        </is>
      </c>
    </row>
    <row r="37">
      <c r="A37" s="4" t="inlineStr">
        <is>
          <t>EMP-432</t>
        </is>
      </c>
      <c r="B37" s="5" t="inlineStr">
        <is>
          <t>Reema Bajaj</t>
        </is>
      </c>
      <c r="C37" s="4" t="inlineStr">
        <is>
          <t>SDF</t>
        </is>
      </c>
      <c r="D37" s="5" t="inlineStr">
        <is>
          <t>Ajmer</t>
        </is>
      </c>
      <c r="E37" s="5" t="inlineStr">
        <is>
          <t>hourly</t>
        </is>
      </c>
      <c r="F37" s="6" t="n">
        <v>100000</v>
      </c>
      <c r="G37" s="4" t="n">
        <v>3225.81</v>
      </c>
      <c r="H37" s="4" t="n">
        <v>7</v>
      </c>
      <c r="I37" s="4" t="inlineStr">
        <is>
          <t>10:00</t>
        </is>
      </c>
      <c r="J37" s="4" t="inlineStr">
        <is>
          <t>17:00</t>
        </is>
      </c>
      <c r="K37" s="4" t="inlineStr">
        <is>
          <t>Full Time</t>
        </is>
      </c>
      <c r="L37" s="4" t="inlineStr">
        <is>
          <t>Active</t>
        </is>
      </c>
    </row>
    <row r="38">
      <c r="A38" s="7" t="inlineStr">
        <is>
          <t>EMP-011</t>
        </is>
      </c>
      <c r="B38" s="8" t="inlineStr">
        <is>
          <t>Reena Gujjar</t>
        </is>
      </c>
      <c r="C38" s="7" t="inlineStr">
        <is>
          <t>SDF</t>
        </is>
      </c>
      <c r="D38" s="8" t="inlineStr">
        <is>
          <t>Ajmer</t>
        </is>
      </c>
      <c r="E38" s="8" t="inlineStr">
        <is>
          <t>hourly</t>
        </is>
      </c>
      <c r="F38" s="9" t="n">
        <v>5700</v>
      </c>
      <c r="G38" s="7" t="n">
        <v>183.87</v>
      </c>
      <c r="H38" s="7" t="n">
        <v>4</v>
      </c>
      <c r="I38" s="7" t="inlineStr">
        <is>
          <t>10:00</t>
        </is>
      </c>
      <c r="J38" s="7" t="inlineStr">
        <is>
          <t>14:00</t>
        </is>
      </c>
      <c r="K38" s="7" t="inlineStr">
        <is>
          <t>Full Time</t>
        </is>
      </c>
      <c r="L38" s="7" t="inlineStr">
        <is>
          <t>Active</t>
        </is>
      </c>
    </row>
    <row r="39">
      <c r="A39" s="4" t="inlineStr">
        <is>
          <t>EMP-037</t>
        </is>
      </c>
      <c r="B39" s="5" t="inlineStr">
        <is>
          <t>Reetu Sindal</t>
        </is>
      </c>
      <c r="C39" s="4" t="inlineStr">
        <is>
          <t>SDF</t>
        </is>
      </c>
      <c r="D39" s="5" t="inlineStr">
        <is>
          <t>Ajmer</t>
        </is>
      </c>
      <c r="E39" s="5" t="inlineStr">
        <is>
          <t>hourly</t>
        </is>
      </c>
      <c r="F39" s="6" t="n">
        <v>10000</v>
      </c>
      <c r="G39" s="4" t="n">
        <v>322.58</v>
      </c>
      <c r="H39" s="4" t="n">
        <v>9</v>
      </c>
      <c r="I39" s="4" t="inlineStr">
        <is>
          <t>10:00</t>
        </is>
      </c>
      <c r="J39" s="4" t="inlineStr">
        <is>
          <t>19:00</t>
        </is>
      </c>
      <c r="K39" s="4" t="inlineStr">
        <is>
          <t>Full Time</t>
        </is>
      </c>
      <c r="L39" s="4" t="inlineStr">
        <is>
          <t>Active</t>
        </is>
      </c>
    </row>
    <row r="40">
      <c r="A40" s="7" t="inlineStr">
        <is>
          <t>EMP-433</t>
        </is>
      </c>
      <c r="B40" s="8" t="inlineStr">
        <is>
          <t>Viram Singh</t>
        </is>
      </c>
      <c r="C40" s="7" t="inlineStr">
        <is>
          <t>SDF</t>
        </is>
      </c>
      <c r="D40" s="8" t="inlineStr">
        <is>
          <t>Ajmer</t>
        </is>
      </c>
      <c r="E40" s="8" t="inlineStr">
        <is>
          <t>hourly</t>
        </is>
      </c>
      <c r="F40" s="9" t="n">
        <v>17000</v>
      </c>
      <c r="G40" s="7" t="n">
        <v>548.39</v>
      </c>
      <c r="H40" s="7" t="n">
        <v>10</v>
      </c>
      <c r="I40" s="7" t="inlineStr">
        <is>
          <t>09:00</t>
        </is>
      </c>
      <c r="J40" s="7" t="inlineStr">
        <is>
          <t>19:00</t>
        </is>
      </c>
      <c r="K40" s="7" t="inlineStr">
        <is>
          <t>Full Time</t>
        </is>
      </c>
      <c r="L40" s="7" t="inlineStr">
        <is>
          <t>Active</t>
        </is>
      </c>
    </row>
    <row r="41">
      <c r="A41" s="4" t="inlineStr">
        <is>
          <t>EMP-014</t>
        </is>
      </c>
      <c r="B41" s="5" t="inlineStr">
        <is>
          <t>Anamika Tanwar</t>
        </is>
      </c>
      <c r="C41" s="4" t="inlineStr">
        <is>
          <t>SI</t>
        </is>
      </c>
      <c r="D41" s="5" t="inlineStr">
        <is>
          <t>Ajmer</t>
        </is>
      </c>
      <c r="E41" s="5" t="inlineStr">
        <is>
          <t>hourly</t>
        </is>
      </c>
      <c r="F41" s="6" t="n">
        <v>14000</v>
      </c>
      <c r="G41" s="4" t="n">
        <v>451.61</v>
      </c>
      <c r="H41" s="4" t="n">
        <v>9</v>
      </c>
      <c r="I41" s="4" t="inlineStr">
        <is>
          <t>10:00</t>
        </is>
      </c>
      <c r="J41" s="4" t="inlineStr">
        <is>
          <t>19:00</t>
        </is>
      </c>
      <c r="K41" s="4" t="inlineStr">
        <is>
          <t>Full Time</t>
        </is>
      </c>
      <c r="L41" s="4" t="inlineStr">
        <is>
          <t>Active</t>
        </is>
      </c>
    </row>
    <row r="42">
      <c r="A42" s="7" t="inlineStr">
        <is>
          <t>EMP-501</t>
        </is>
      </c>
      <c r="B42" s="8" t="inlineStr">
        <is>
          <t>Arun Mathur</t>
        </is>
      </c>
      <c r="C42" s="7" t="inlineStr">
        <is>
          <t>SI</t>
        </is>
      </c>
      <c r="D42" s="8" t="inlineStr">
        <is>
          <t>Jaipur</t>
        </is>
      </c>
      <c r="E42" s="8" t="inlineStr">
        <is>
          <t>hourly</t>
        </is>
      </c>
      <c r="F42" s="9" t="n">
        <v>50000</v>
      </c>
      <c r="G42" s="7" t="n">
        <v>1612.9</v>
      </c>
      <c r="H42" s="7" t="n">
        <v>9</v>
      </c>
      <c r="I42" s="7" t="inlineStr">
        <is>
          <t>10:00</t>
        </is>
      </c>
      <c r="J42" s="7" t="inlineStr">
        <is>
          <t>19:00</t>
        </is>
      </c>
      <c r="K42" s="7" t="inlineStr">
        <is>
          <t>Full Time</t>
        </is>
      </c>
      <c r="L42" s="7" t="inlineStr">
        <is>
          <t>Active</t>
        </is>
      </c>
    </row>
    <row r="43">
      <c r="A43" s="4" t="inlineStr">
        <is>
          <t>EMP-026</t>
        </is>
      </c>
      <c r="B43" s="5" t="inlineStr">
        <is>
          <t>Mayank Agarwal</t>
        </is>
      </c>
      <c r="C43" s="4" t="inlineStr">
        <is>
          <t>SI</t>
        </is>
      </c>
      <c r="D43" s="5" t="inlineStr">
        <is>
          <t>Ajmer</t>
        </is>
      </c>
      <c r="E43" s="5" t="inlineStr">
        <is>
          <t>hourly</t>
        </is>
      </c>
      <c r="F43" s="6" t="n">
        <v>10000</v>
      </c>
      <c r="G43" s="4" t="n">
        <v>322.58</v>
      </c>
      <c r="H43" s="4" t="n">
        <v>1</v>
      </c>
      <c r="I43" s="4" t="inlineStr">
        <is>
          <t>10:00</t>
        </is>
      </c>
      <c r="J43" s="4" t="inlineStr">
        <is>
          <t>11:00</t>
        </is>
      </c>
      <c r="K43" s="4" t="inlineStr">
        <is>
          <t>Part Time</t>
        </is>
      </c>
      <c r="L43" s="4" t="inlineStr">
        <is>
          <t>Active</t>
        </is>
      </c>
    </row>
    <row r="44">
      <c r="A44" s="7" t="inlineStr">
        <is>
          <t>EMP-504</t>
        </is>
      </c>
      <c r="B44" s="8" t="inlineStr">
        <is>
          <t>Priyanka Shukla</t>
        </is>
      </c>
      <c r="C44" s="7" t="inlineStr">
        <is>
          <t>SI</t>
        </is>
      </c>
      <c r="D44" s="8" t="inlineStr">
        <is>
          <t>Jaipur</t>
        </is>
      </c>
      <c r="E44" s="8" t="inlineStr">
        <is>
          <t>hourly</t>
        </is>
      </c>
      <c r="F44" s="9" t="n">
        <v>18000</v>
      </c>
      <c r="G44" s="7" t="n">
        <v>580.65</v>
      </c>
      <c r="H44" s="7" t="n">
        <v>9</v>
      </c>
      <c r="I44" s="7" t="inlineStr">
        <is>
          <t>10:00</t>
        </is>
      </c>
      <c r="J44" s="7" t="inlineStr">
        <is>
          <t>19:00</t>
        </is>
      </c>
      <c r="K44" s="7" t="inlineStr">
        <is>
          <t>Full Time</t>
        </is>
      </c>
      <c r="L44" s="7" t="inlineStr">
        <is>
          <t>Active</t>
        </is>
      </c>
    </row>
    <row r="45">
      <c r="A45" s="4" t="inlineStr">
        <is>
          <t>EMP-033</t>
        </is>
      </c>
      <c r="B45" s="5" t="inlineStr">
        <is>
          <t>Radhika Mehra</t>
        </is>
      </c>
      <c r="C45" s="4" t="inlineStr">
        <is>
          <t>SI</t>
        </is>
      </c>
      <c r="D45" s="5" t="inlineStr">
        <is>
          <t>Ajmer</t>
        </is>
      </c>
      <c r="E45" s="5" t="inlineStr">
        <is>
          <t>hourly</t>
        </is>
      </c>
      <c r="F45" s="6" t="n">
        <v>12000</v>
      </c>
      <c r="G45" s="4" t="n">
        <v>387.1</v>
      </c>
      <c r="H45" s="4" t="n">
        <v>9</v>
      </c>
      <c r="I45" s="4" t="inlineStr">
        <is>
          <t>10:00</t>
        </is>
      </c>
      <c r="J45" s="4" t="inlineStr">
        <is>
          <t>19:00</t>
        </is>
      </c>
      <c r="K45" s="4" t="inlineStr">
        <is>
          <t>Full Time</t>
        </is>
      </c>
      <c r="L45" s="4" t="inlineStr">
        <is>
          <t>Active</t>
        </is>
      </c>
    </row>
    <row r="46">
      <c r="A46" s="7" t="inlineStr">
        <is>
          <t>EMP-503</t>
        </is>
      </c>
      <c r="B46" s="8" t="inlineStr">
        <is>
          <t>Sachin Kumar</t>
        </is>
      </c>
      <c r="C46" s="7" t="inlineStr">
        <is>
          <t>SI</t>
        </is>
      </c>
      <c r="D46" s="8" t="inlineStr">
        <is>
          <t>Jaipur</t>
        </is>
      </c>
      <c r="E46" s="8" t="inlineStr">
        <is>
          <t>hourly</t>
        </is>
      </c>
      <c r="F46" s="9" t="n">
        <v>13000</v>
      </c>
      <c r="G46" s="7" t="n">
        <v>419.35</v>
      </c>
      <c r="H46" s="7" t="n">
        <v>9</v>
      </c>
      <c r="I46" s="7" t="inlineStr">
        <is>
          <t>10:00</t>
        </is>
      </c>
      <c r="J46" s="7" t="inlineStr">
        <is>
          <t>19:00</t>
        </is>
      </c>
      <c r="K46" s="7" t="inlineStr">
        <is>
          <t>Full Time</t>
        </is>
      </c>
      <c r="L46" s="7" t="inlineStr">
        <is>
          <t>Active</t>
        </is>
      </c>
    </row>
    <row r="47">
      <c r="A47" s="10" t="n"/>
      <c r="B47" s="10" t="inlineStr">
        <is>
          <t>TOTAL</t>
        </is>
      </c>
      <c r="C47" s="10" t="n"/>
      <c r="D47" s="10" t="n"/>
      <c r="E47" s="10" t="n"/>
      <c r="F47" s="11">
        <f>SUM(F5:F46)</f>
        <v/>
      </c>
      <c r="G47" s="12" t="n"/>
      <c r="H47" s="10" t="n"/>
      <c r="I47" s="10" t="n"/>
      <c r="J47" s="10" t="n"/>
      <c r="K47" s="10" t="n"/>
      <c r="L47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9" customWidth="1" min="7" max="7"/>
    <col width="12" customWidth="1" min="8" max="8"/>
    <col width="9" customWidth="1" min="9" max="9"/>
    <col width="10" customWidth="1" min="10" max="10"/>
    <col width="11" customWidth="1" min="11" max="11"/>
    <col width="13" customWidth="1" min="12" max="12"/>
    <col width="9" customWidth="1" min="13" max="13"/>
    <col width="10" customWidth="1" min="14" max="14"/>
    <col width="14" customWidth="1" min="15" max="15"/>
    <col width="9" customWidth="1" min="16" max="16"/>
    <col width="10" customWidth="1" min="17" max="17"/>
    <col width="10" customWidth="1" min="18" max="18"/>
    <col width="13" customWidth="1" min="19" max="19"/>
    <col width="13" customWidth="1" min="20" max="20"/>
    <col width="13" customWidth="1" min="21" max="21"/>
    <col width="11" customWidth="1" min="22" max="22"/>
    <col width="14" customWidth="1" min="23" max="23"/>
    <col width="16" customWidth="1" min="24" max="24"/>
  </cols>
  <sheetData>
    <row r="1" ht="26" customHeight="1">
      <c r="A1" s="1" t="inlineStr">
        <is>
          <t>LAPL — Salary Sheet: July 2026</t>
        </is>
      </c>
    </row>
    <row r="2">
      <c r="A2" s="13" t="inlineStr">
        <is>
          <t>Salary Month: July 2026  |  Days in Month: 31  |  Sundays: 4  |  Holidays: 0  |  Working Days: 27  |  Employees: 15</t>
        </is>
      </c>
    </row>
    <row r="4" ht="42" customHeight="1">
      <c r="A4" s="3" t="inlineStr">
        <is>
          <t>S.No</t>
        </is>
      </c>
      <c r="B4" s="3" t="inlineStr">
        <is>
          <t>Emp Code</t>
        </is>
      </c>
      <c r="C4" s="3" t="inlineStr">
        <is>
          <t>Employee Name</t>
        </is>
      </c>
      <c r="D4" s="3" t="inlineStr">
        <is>
          <t>Location</t>
        </is>
      </c>
      <c r="E4" s="3" t="inlineStr">
        <is>
          <t>Monthly Salary (₹)</t>
        </is>
      </c>
      <c r="F4" s="3" t="inlineStr">
        <is>
          <t>Shift Hrs/Day</t>
        </is>
      </c>
      <c r="G4" s="3" t="inlineStr">
        <is>
          <t>Sl/Hr (₹)</t>
        </is>
      </c>
      <c r="H4" s="3" t="inlineStr">
        <is>
          <t>Worked Hrs including OT</t>
        </is>
      </c>
      <c r="I4" s="3" t="inlineStr">
        <is>
          <t>OT Hours</t>
        </is>
      </c>
      <c r="J4" s="3" t="inlineStr">
        <is>
          <t>OT Rate/Hr (₹)</t>
        </is>
      </c>
      <c r="K4" s="3" t="inlineStr">
        <is>
          <t>OT Amount (₹)</t>
        </is>
      </c>
      <c r="L4" s="3" t="inlineStr">
        <is>
          <t>Additional Hrs (Sundays)</t>
        </is>
      </c>
      <c r="M4" s="3" t="inlineStr">
        <is>
          <t>PH Hours</t>
        </is>
      </c>
      <c r="N4" s="3" t="inlineStr">
        <is>
          <t>Total Hrs</t>
        </is>
      </c>
      <c r="O4" s="3" t="inlineStr">
        <is>
          <t>Gross Salary (₹)</t>
        </is>
      </c>
      <c r="P4" s="3" t="inlineStr">
        <is>
          <t>TDS (₹)</t>
        </is>
      </c>
      <c r="Q4" s="3" t="inlineStr">
        <is>
          <t>Loan/Amt (₹)</t>
        </is>
      </c>
      <c r="R4" s="3" t="inlineStr">
        <is>
          <t>Advance (₹)</t>
        </is>
      </c>
      <c r="S4" s="3" t="inlineStr">
        <is>
          <t>Security Deposit (₹)</t>
        </is>
      </c>
      <c r="T4" s="3" t="inlineStr">
        <is>
          <t>Total Deductions (₹)</t>
        </is>
      </c>
      <c r="U4" s="3" t="inlineStr">
        <is>
          <t>Balance Loan Amt (₹)</t>
        </is>
      </c>
      <c r="V4" s="3" t="inlineStr">
        <is>
          <t>Arrear (₹)</t>
        </is>
      </c>
      <c r="W4" s="3" t="inlineStr">
        <is>
          <t>Net Salary (₹)</t>
        </is>
      </c>
      <c r="X4" s="3" t="inlineStr">
        <is>
          <t>Remarks</t>
        </is>
      </c>
    </row>
    <row r="5">
      <c r="A5" s="14" t="n">
        <v>1</v>
      </c>
      <c r="B5" s="14" t="inlineStr">
        <is>
          <t>EMP-436</t>
        </is>
      </c>
      <c r="C5" s="15" t="inlineStr">
        <is>
          <t>Ashish</t>
        </is>
      </c>
      <c r="D5" s="14" t="inlineStr">
        <is>
          <t>Ajmer</t>
        </is>
      </c>
      <c r="E5" s="16" t="n">
        <v>25000</v>
      </c>
      <c r="F5" s="14" t="n">
        <v>9</v>
      </c>
      <c r="G5" s="17">
        <f>E5/(31*F5)</f>
        <v/>
      </c>
      <c r="H5" s="17" t="n">
        <v>97.92</v>
      </c>
      <c r="I5" s="18" t="n">
        <v>0.51</v>
      </c>
      <c r="J5" s="17">
        <f>G5</f>
        <v/>
      </c>
      <c r="K5" s="17">
        <f>I5*J5</f>
        <v/>
      </c>
      <c r="L5" s="18" t="n">
        <v>36</v>
      </c>
      <c r="M5" s="18" t="n">
        <v>0</v>
      </c>
      <c r="N5" s="17">
        <f>H5+I5+L5+M5</f>
        <v/>
      </c>
      <c r="O5" s="19">
        <f>N5*G5</f>
        <v/>
      </c>
      <c r="P5" s="20" t="n">
        <v>0</v>
      </c>
      <c r="Q5" s="20" t="n">
        <v>0</v>
      </c>
      <c r="R5" s="20" t="n">
        <v>0</v>
      </c>
      <c r="S5" s="20" t="n">
        <v>0</v>
      </c>
      <c r="T5" s="17">
        <f>SUM(P5:S5)</f>
        <v/>
      </c>
      <c r="U5" s="20" t="n">
        <v>0</v>
      </c>
      <c r="V5" s="20" t="n">
        <v>0</v>
      </c>
      <c r="W5" s="19">
        <f>O5-T5+IF(V5="",0,V5)</f>
        <v/>
      </c>
      <c r="X5" s="15" t="inlineStr"/>
    </row>
    <row r="6">
      <c r="A6" s="21" t="n">
        <v>2</v>
      </c>
      <c r="B6" s="21" t="inlineStr">
        <is>
          <t>EMP-434</t>
        </is>
      </c>
      <c r="C6" s="22" t="inlineStr">
        <is>
          <t>Chaitanaya</t>
        </is>
      </c>
      <c r="D6" s="21" t="inlineStr">
        <is>
          <t>Ajmer</t>
        </is>
      </c>
      <c r="E6" s="23" t="n">
        <v>25000</v>
      </c>
      <c r="F6" s="21" t="n">
        <v>9</v>
      </c>
      <c r="G6" s="24">
        <f>E6/(31*F6)</f>
        <v/>
      </c>
      <c r="H6" s="24" t="n">
        <v>101.78</v>
      </c>
      <c r="I6" s="25" t="n">
        <v>2.87</v>
      </c>
      <c r="J6" s="24">
        <f>G6</f>
        <v/>
      </c>
      <c r="K6" s="24">
        <f>I6*J6</f>
        <v/>
      </c>
      <c r="L6" s="25" t="n">
        <v>36</v>
      </c>
      <c r="M6" s="25" t="n">
        <v>0</v>
      </c>
      <c r="N6" s="24">
        <f>H6+I6+L6+M6</f>
        <v/>
      </c>
      <c r="O6" s="26">
        <f>N6*G6</f>
        <v/>
      </c>
      <c r="P6" s="27" t="n">
        <v>0</v>
      </c>
      <c r="Q6" s="27" t="n">
        <v>0</v>
      </c>
      <c r="R6" s="27" t="n">
        <v>0</v>
      </c>
      <c r="S6" s="27" t="n">
        <v>0</v>
      </c>
      <c r="T6" s="24">
        <f>SUM(P6:S6)</f>
        <v/>
      </c>
      <c r="U6" s="27" t="n">
        <v>0</v>
      </c>
      <c r="V6" s="27" t="n">
        <v>0</v>
      </c>
      <c r="W6" s="26">
        <f>O6-T6+IF(V6="",0,V6)</f>
        <v/>
      </c>
      <c r="X6" s="22" t="inlineStr"/>
    </row>
    <row r="7">
      <c r="A7" s="14" t="n">
        <v>3</v>
      </c>
      <c r="B7" s="14" t="inlineStr">
        <is>
          <t>EMP-441</t>
        </is>
      </c>
      <c r="C7" s="15" t="inlineStr">
        <is>
          <t>HONEY JAIN</t>
        </is>
      </c>
      <c r="D7" s="14" t="inlineStr">
        <is>
          <t>Ajmer</t>
        </is>
      </c>
      <c r="E7" s="16" t="n">
        <v>18000</v>
      </c>
      <c r="F7" s="14" t="n">
        <v>9</v>
      </c>
      <c r="G7" s="17">
        <f>E7/(31*F7)</f>
        <v/>
      </c>
      <c r="H7" s="17" t="n">
        <v>0</v>
      </c>
      <c r="I7" s="18" t="n">
        <v>0</v>
      </c>
      <c r="J7" s="17">
        <f>G7</f>
        <v/>
      </c>
      <c r="K7" s="17">
        <f>I7*J7</f>
        <v/>
      </c>
      <c r="L7" s="18" t="n">
        <v>36</v>
      </c>
      <c r="M7" s="18" t="n">
        <v>0</v>
      </c>
      <c r="N7" s="17">
        <f>H7+I7+L7+M7</f>
        <v/>
      </c>
      <c r="O7" s="19">
        <f>N7*G7</f>
        <v/>
      </c>
      <c r="P7" s="20" t="n">
        <v>0</v>
      </c>
      <c r="Q7" s="20" t="n">
        <v>0</v>
      </c>
      <c r="R7" s="20" t="n">
        <v>0</v>
      </c>
      <c r="S7" s="20" t="n">
        <v>0</v>
      </c>
      <c r="T7" s="17">
        <f>SUM(P7:S7)</f>
        <v/>
      </c>
      <c r="U7" s="20" t="n">
        <v>0</v>
      </c>
      <c r="V7" s="20" t="n">
        <v>0</v>
      </c>
      <c r="W7" s="19">
        <f>O7-T7+IF(V7="",0,V7)</f>
        <v/>
      </c>
      <c r="X7" s="15" t="inlineStr"/>
    </row>
    <row r="8">
      <c r="A8" s="21" t="n">
        <v>4</v>
      </c>
      <c r="B8" s="21" t="inlineStr">
        <is>
          <t>EMP-021</t>
        </is>
      </c>
      <c r="C8" s="22" t="inlineStr">
        <is>
          <t>Kamlesh Prajapati</t>
        </is>
      </c>
      <c r="D8" s="21" t="inlineStr">
        <is>
          <t>Ajmer</t>
        </is>
      </c>
      <c r="E8" s="23" t="n">
        <v>19000</v>
      </c>
      <c r="F8" s="21" t="n">
        <v>9</v>
      </c>
      <c r="G8" s="24">
        <f>E8/(31*F8)</f>
        <v/>
      </c>
      <c r="H8" s="24" t="n">
        <v>216.07</v>
      </c>
      <c r="I8" s="25" t="n">
        <v>2.95</v>
      </c>
      <c r="J8" s="24">
        <f>G8</f>
        <v/>
      </c>
      <c r="K8" s="24">
        <f>I8*J8</f>
        <v/>
      </c>
      <c r="L8" s="25" t="n">
        <v>36</v>
      </c>
      <c r="M8" s="25" t="n">
        <v>0</v>
      </c>
      <c r="N8" s="24">
        <f>H8+I8+L8+M8</f>
        <v/>
      </c>
      <c r="O8" s="26">
        <f>N8*G8</f>
        <v/>
      </c>
      <c r="P8" s="27" t="n">
        <v>0</v>
      </c>
      <c r="Q8" s="27" t="n">
        <v>0</v>
      </c>
      <c r="R8" s="27" t="n">
        <v>0</v>
      </c>
      <c r="S8" s="27" t="n">
        <v>0</v>
      </c>
      <c r="T8" s="24">
        <f>SUM(P8:S8)</f>
        <v/>
      </c>
      <c r="U8" s="27" t="n">
        <v>0</v>
      </c>
      <c r="V8" s="27" t="n">
        <v>0</v>
      </c>
      <c r="W8" s="26">
        <f>O8-T8+IF(V8="",0,V8)</f>
        <v/>
      </c>
      <c r="X8" s="22" t="inlineStr"/>
    </row>
    <row r="9">
      <c r="A9" s="14" t="n">
        <v>5</v>
      </c>
      <c r="B9" s="14" t="inlineStr">
        <is>
          <t>EMP-431</t>
        </is>
      </c>
      <c r="C9" s="15" t="inlineStr">
        <is>
          <t>Kanishka Devnath</t>
        </is>
      </c>
      <c r="D9" s="14" t="inlineStr">
        <is>
          <t>Ajmer</t>
        </is>
      </c>
      <c r="E9" s="16" t="n">
        <v>18000</v>
      </c>
      <c r="F9" s="14" t="n">
        <v>9</v>
      </c>
      <c r="G9" s="17">
        <f>E9/(31*F9)</f>
        <v/>
      </c>
      <c r="H9" s="17" t="n">
        <v>114.62</v>
      </c>
      <c r="I9" s="18" t="n">
        <v>0.43</v>
      </c>
      <c r="J9" s="17">
        <f>G9</f>
        <v/>
      </c>
      <c r="K9" s="17">
        <f>I9*J9</f>
        <v/>
      </c>
      <c r="L9" s="18" t="n">
        <v>36</v>
      </c>
      <c r="M9" s="18" t="n">
        <v>0</v>
      </c>
      <c r="N9" s="17">
        <f>H9+I9+L9+M9</f>
        <v/>
      </c>
      <c r="O9" s="19">
        <f>N9*G9</f>
        <v/>
      </c>
      <c r="P9" s="20" t="n">
        <v>0</v>
      </c>
      <c r="Q9" s="20" t="n">
        <v>0</v>
      </c>
      <c r="R9" s="20" t="n">
        <v>0</v>
      </c>
      <c r="S9" s="20" t="n">
        <v>0</v>
      </c>
      <c r="T9" s="17">
        <f>SUM(P9:S9)</f>
        <v/>
      </c>
      <c r="U9" s="20" t="n">
        <v>0</v>
      </c>
      <c r="V9" s="20" t="n">
        <v>0</v>
      </c>
      <c r="W9" s="19">
        <f>O9-T9+IF(V9="",0,V9)</f>
        <v/>
      </c>
      <c r="X9" s="15" t="inlineStr"/>
    </row>
    <row r="10">
      <c r="A10" s="21" t="n">
        <v>6</v>
      </c>
      <c r="B10" s="21" t="inlineStr">
        <is>
          <t>EMP-438</t>
        </is>
      </c>
      <c r="C10" s="22" t="inlineStr">
        <is>
          <t>Khushi</t>
        </is>
      </c>
      <c r="D10" s="21" t="inlineStr">
        <is>
          <t>Ajmer</t>
        </is>
      </c>
      <c r="E10" s="23" t="n">
        <v>15000</v>
      </c>
      <c r="F10" s="21" t="n">
        <v>9</v>
      </c>
      <c r="G10" s="24">
        <f>E10/(31*F10)</f>
        <v/>
      </c>
      <c r="H10" s="24" t="n">
        <v>27.12</v>
      </c>
      <c r="I10" s="25" t="n">
        <v>0.13</v>
      </c>
      <c r="J10" s="24">
        <f>G10</f>
        <v/>
      </c>
      <c r="K10" s="24">
        <f>I10*J10</f>
        <v/>
      </c>
      <c r="L10" s="25" t="n">
        <v>36</v>
      </c>
      <c r="M10" s="25" t="n">
        <v>0</v>
      </c>
      <c r="N10" s="24">
        <f>H10+I10+L10+M10</f>
        <v/>
      </c>
      <c r="O10" s="26">
        <f>N10*G10</f>
        <v/>
      </c>
      <c r="P10" s="27" t="n">
        <v>0</v>
      </c>
      <c r="Q10" s="27" t="n">
        <v>0</v>
      </c>
      <c r="R10" s="27" t="n">
        <v>0</v>
      </c>
      <c r="S10" s="27" t="n">
        <v>0</v>
      </c>
      <c r="T10" s="24">
        <f>SUM(P10:S10)</f>
        <v/>
      </c>
      <c r="U10" s="27" t="n">
        <v>0</v>
      </c>
      <c r="V10" s="27" t="n">
        <v>0</v>
      </c>
      <c r="W10" s="26">
        <f>O10-T10+IF(V10="",0,V10)</f>
        <v/>
      </c>
      <c r="X10" s="22" t="inlineStr"/>
    </row>
    <row r="11">
      <c r="A11" s="14" t="n">
        <v>7</v>
      </c>
      <c r="B11" s="14" t="inlineStr">
        <is>
          <t>EMP-041</t>
        </is>
      </c>
      <c r="C11" s="15" t="inlineStr">
        <is>
          <t>Kulvinder Singh Lamba</t>
        </is>
      </c>
      <c r="D11" s="14" t="inlineStr">
        <is>
          <t>Gurgaon</t>
        </is>
      </c>
      <c r="E11" s="16" t="n">
        <v>75000</v>
      </c>
      <c r="F11" s="14" t="n">
        <v>9</v>
      </c>
      <c r="G11" s="17">
        <f>E11/(31*F11)</f>
        <v/>
      </c>
      <c r="H11" s="17" t="n">
        <v>215.5</v>
      </c>
      <c r="I11" s="18" t="n">
        <v>0.72</v>
      </c>
      <c r="J11" s="17">
        <f>G11</f>
        <v/>
      </c>
      <c r="K11" s="17">
        <f>I11*J11</f>
        <v/>
      </c>
      <c r="L11" s="18" t="n">
        <v>36</v>
      </c>
      <c r="M11" s="18" t="n">
        <v>0</v>
      </c>
      <c r="N11" s="17">
        <f>H11+I11+L11+M11</f>
        <v/>
      </c>
      <c r="O11" s="19">
        <f>N11*G11</f>
        <v/>
      </c>
      <c r="P11" s="20" t="n">
        <v>0</v>
      </c>
      <c r="Q11" s="20" t="n">
        <v>0</v>
      </c>
      <c r="R11" s="20" t="n">
        <v>0</v>
      </c>
      <c r="S11" s="20" t="n">
        <v>0</v>
      </c>
      <c r="T11" s="17">
        <f>SUM(P11:S11)</f>
        <v/>
      </c>
      <c r="U11" s="20" t="n">
        <v>0</v>
      </c>
      <c r="V11" s="20" t="n">
        <v>0</v>
      </c>
      <c r="W11" s="19">
        <f>O11-T11+IF(V11="",0,V11)</f>
        <v/>
      </c>
      <c r="X11" s="15" t="inlineStr"/>
    </row>
    <row r="12">
      <c r="A12" s="21" t="n">
        <v>8</v>
      </c>
      <c r="B12" s="21" t="inlineStr">
        <is>
          <t>EMP-117</t>
        </is>
      </c>
      <c r="C12" s="22" t="inlineStr">
        <is>
          <t>Manish Rawat</t>
        </is>
      </c>
      <c r="D12" s="21" t="inlineStr">
        <is>
          <t>Palra Warehouse</t>
        </is>
      </c>
      <c r="E12" s="23" t="n">
        <v>0</v>
      </c>
      <c r="F12" s="21" t="n">
        <v>10</v>
      </c>
      <c r="G12" s="24">
        <f>E12/(31*F12)</f>
        <v/>
      </c>
      <c r="H12" s="24" t="n">
        <v>244.48</v>
      </c>
      <c r="I12" s="25" t="n">
        <v>0.42</v>
      </c>
      <c r="J12" s="24">
        <f>G12</f>
        <v/>
      </c>
      <c r="K12" s="24">
        <f>I12*J12</f>
        <v/>
      </c>
      <c r="L12" s="25" t="n">
        <v>40</v>
      </c>
      <c r="M12" s="25" t="n">
        <v>0</v>
      </c>
      <c r="N12" s="24">
        <f>H12+I12+L12+M12</f>
        <v/>
      </c>
      <c r="O12" s="26">
        <f>N12*G12</f>
        <v/>
      </c>
      <c r="P12" s="27" t="n">
        <v>0</v>
      </c>
      <c r="Q12" s="27" t="n">
        <v>0</v>
      </c>
      <c r="R12" s="27" t="n">
        <v>0</v>
      </c>
      <c r="S12" s="27" t="n">
        <v>0</v>
      </c>
      <c r="T12" s="24">
        <f>SUM(P12:S12)</f>
        <v/>
      </c>
      <c r="U12" s="27" t="n">
        <v>0</v>
      </c>
      <c r="V12" s="27" t="n">
        <v>0</v>
      </c>
      <c r="W12" s="26">
        <f>O12-T12+IF(V12="",0,V12)</f>
        <v/>
      </c>
      <c r="X12" s="22" t="inlineStr"/>
    </row>
    <row r="13">
      <c r="A13" s="14" t="n">
        <v>9</v>
      </c>
      <c r="B13" s="14" t="inlineStr">
        <is>
          <t>EMP-442</t>
        </is>
      </c>
      <c r="C13" s="15" t="inlineStr">
        <is>
          <t>Priyanka Sharma</t>
        </is>
      </c>
      <c r="D13" s="14" t="inlineStr">
        <is>
          <t>Ajmer</t>
        </is>
      </c>
      <c r="E13" s="16" t="n">
        <v>12000</v>
      </c>
      <c r="F13" s="14" t="n">
        <v>9</v>
      </c>
      <c r="G13" s="17">
        <f>E13/(31*F13)</f>
        <v/>
      </c>
      <c r="H13" s="17" t="n">
        <v>0</v>
      </c>
      <c r="I13" s="18" t="n">
        <v>0</v>
      </c>
      <c r="J13" s="17">
        <f>G13</f>
        <v/>
      </c>
      <c r="K13" s="17">
        <f>I13*J13</f>
        <v/>
      </c>
      <c r="L13" s="18" t="n">
        <v>36</v>
      </c>
      <c r="M13" s="18" t="n">
        <v>0</v>
      </c>
      <c r="N13" s="17">
        <f>H13+I13+L13+M13</f>
        <v/>
      </c>
      <c r="O13" s="19">
        <f>N13*G13</f>
        <v/>
      </c>
      <c r="P13" s="20" t="n">
        <v>0</v>
      </c>
      <c r="Q13" s="20" t="n">
        <v>0</v>
      </c>
      <c r="R13" s="20" t="n">
        <v>0</v>
      </c>
      <c r="S13" s="20" t="n">
        <v>0</v>
      </c>
      <c r="T13" s="17">
        <f>SUM(P13:S13)</f>
        <v/>
      </c>
      <c r="U13" s="20" t="n">
        <v>0</v>
      </c>
      <c r="V13" s="20" t="n">
        <v>0</v>
      </c>
      <c r="W13" s="19">
        <f>O13-T13+IF(V13="",0,V13)</f>
        <v/>
      </c>
      <c r="X13" s="15" t="inlineStr"/>
    </row>
    <row r="14">
      <c r="A14" s="21" t="n">
        <v>10</v>
      </c>
      <c r="B14" s="21" t="inlineStr">
        <is>
          <t>EMP-054</t>
        </is>
      </c>
      <c r="C14" s="22" t="inlineStr">
        <is>
          <t>Ranveer Singh</t>
        </is>
      </c>
      <c r="D14" s="21" t="inlineStr">
        <is>
          <t>Gurgaon</t>
        </is>
      </c>
      <c r="E14" s="23" t="n">
        <v>15000</v>
      </c>
      <c r="F14" s="21" t="n">
        <v>9</v>
      </c>
      <c r="G14" s="24">
        <f>E14/(31*F14)</f>
        <v/>
      </c>
      <c r="H14" s="24" t="n">
        <v>211.23</v>
      </c>
      <c r="I14" s="25" t="n">
        <v>1.05</v>
      </c>
      <c r="J14" s="24">
        <f>G14</f>
        <v/>
      </c>
      <c r="K14" s="24">
        <f>I14*J14</f>
        <v/>
      </c>
      <c r="L14" s="25" t="n">
        <v>36</v>
      </c>
      <c r="M14" s="25" t="n">
        <v>0</v>
      </c>
      <c r="N14" s="24">
        <f>H14+I14+L14+M14</f>
        <v/>
      </c>
      <c r="O14" s="26">
        <f>N14*G14</f>
        <v/>
      </c>
      <c r="P14" s="27" t="n">
        <v>0</v>
      </c>
      <c r="Q14" s="27" t="n">
        <v>0</v>
      </c>
      <c r="R14" s="27" t="n">
        <v>0</v>
      </c>
      <c r="S14" s="27" t="n">
        <v>0</v>
      </c>
      <c r="T14" s="24">
        <f>SUM(P14:S14)</f>
        <v/>
      </c>
      <c r="U14" s="27" t="n">
        <v>0</v>
      </c>
      <c r="V14" s="27" t="n">
        <v>0</v>
      </c>
      <c r="W14" s="26">
        <f>O14-T14+IF(V14="",0,V14)</f>
        <v/>
      </c>
      <c r="X14" s="22" t="inlineStr"/>
    </row>
    <row r="15">
      <c r="A15" s="14" t="n">
        <v>11</v>
      </c>
      <c r="B15" s="14" t="inlineStr">
        <is>
          <t>EMP-013</t>
        </is>
      </c>
      <c r="C15" s="15" t="inlineStr">
        <is>
          <t>Saurabh Jangid</t>
        </is>
      </c>
      <c r="D15" s="14" t="inlineStr">
        <is>
          <t>Ajmer</t>
        </is>
      </c>
      <c r="E15" s="16" t="n">
        <v>22600</v>
      </c>
      <c r="F15" s="14" t="n">
        <v>9</v>
      </c>
      <c r="G15" s="17">
        <f>E15/(31*F15)</f>
        <v/>
      </c>
      <c r="H15" s="17" t="n">
        <v>184.97</v>
      </c>
      <c r="I15" s="18" t="n">
        <v>2.94</v>
      </c>
      <c r="J15" s="17">
        <f>G15</f>
        <v/>
      </c>
      <c r="K15" s="17">
        <f>I15*J15</f>
        <v/>
      </c>
      <c r="L15" s="18" t="n">
        <v>36</v>
      </c>
      <c r="M15" s="18" t="n">
        <v>0</v>
      </c>
      <c r="N15" s="17">
        <f>H15+I15+L15+M15</f>
        <v/>
      </c>
      <c r="O15" s="19">
        <f>N15*G15</f>
        <v/>
      </c>
      <c r="P15" s="20" t="n">
        <v>0</v>
      </c>
      <c r="Q15" s="20" t="n">
        <v>0</v>
      </c>
      <c r="R15" s="20" t="n">
        <v>0</v>
      </c>
      <c r="S15" s="20" t="n">
        <v>0</v>
      </c>
      <c r="T15" s="17">
        <f>SUM(P15:S15)</f>
        <v/>
      </c>
      <c r="U15" s="20" t="n">
        <v>0</v>
      </c>
      <c r="V15" s="20" t="n">
        <v>0</v>
      </c>
      <c r="W15" s="19">
        <f>O15-T15+IF(V15="",0,V15)</f>
        <v/>
      </c>
      <c r="X15" s="15" t="inlineStr"/>
    </row>
    <row r="16">
      <c r="A16" s="21" t="n">
        <v>12</v>
      </c>
      <c r="B16" s="21" t="inlineStr">
        <is>
          <t>EMP-002</t>
        </is>
      </c>
      <c r="C16" s="22" t="inlineStr">
        <is>
          <t>Soma Gupta</t>
        </is>
      </c>
      <c r="D16" s="21" t="inlineStr">
        <is>
          <t>Gurgaon</t>
        </is>
      </c>
      <c r="E16" s="23" t="n">
        <v>25000</v>
      </c>
      <c r="F16" s="21" t="n">
        <v>9</v>
      </c>
      <c r="G16" s="24">
        <f>E16/(31*F16)</f>
        <v/>
      </c>
      <c r="H16" s="24" t="n">
        <v>205.07</v>
      </c>
      <c r="I16" s="25" t="n">
        <v>2.2</v>
      </c>
      <c r="J16" s="24">
        <f>G16</f>
        <v/>
      </c>
      <c r="K16" s="24">
        <f>I16*J16</f>
        <v/>
      </c>
      <c r="L16" s="25" t="n">
        <v>36</v>
      </c>
      <c r="M16" s="25" t="n">
        <v>0</v>
      </c>
      <c r="N16" s="24">
        <f>H16+I16+L16+M16</f>
        <v/>
      </c>
      <c r="O16" s="26">
        <f>N16*G16</f>
        <v/>
      </c>
      <c r="P16" s="27" t="n">
        <v>0</v>
      </c>
      <c r="Q16" s="27" t="n">
        <v>0</v>
      </c>
      <c r="R16" s="27" t="n">
        <v>0</v>
      </c>
      <c r="S16" s="27" t="n">
        <v>0</v>
      </c>
      <c r="T16" s="24">
        <f>SUM(P16:S16)</f>
        <v/>
      </c>
      <c r="U16" s="27" t="n">
        <v>0</v>
      </c>
      <c r="V16" s="27" t="n">
        <v>0</v>
      </c>
      <c r="W16" s="26">
        <f>O16-T16+IF(V16="",0,V16)</f>
        <v/>
      </c>
      <c r="X16" s="22" t="inlineStr"/>
    </row>
    <row r="17">
      <c r="A17" s="14" t="n">
        <v>13</v>
      </c>
      <c r="B17" s="14" t="inlineStr">
        <is>
          <t>EMP-001</t>
        </is>
      </c>
      <c r="C17" s="15" t="inlineStr">
        <is>
          <t>Tarachand Rawat</t>
        </is>
      </c>
      <c r="D17" s="14" t="inlineStr">
        <is>
          <t>Palra Warehouse</t>
        </is>
      </c>
      <c r="E17" s="16" t="n">
        <v>15500</v>
      </c>
      <c r="F17" s="14" t="n">
        <v>10</v>
      </c>
      <c r="G17" s="17">
        <f>E17/(31*F17)</f>
        <v/>
      </c>
      <c r="H17" s="17" t="n">
        <v>241.28</v>
      </c>
      <c r="I17" s="18" t="n">
        <v>0.44</v>
      </c>
      <c r="J17" s="17">
        <f>G17</f>
        <v/>
      </c>
      <c r="K17" s="17">
        <f>I17*J17</f>
        <v/>
      </c>
      <c r="L17" s="18" t="n">
        <v>40</v>
      </c>
      <c r="M17" s="18" t="n">
        <v>0</v>
      </c>
      <c r="N17" s="17">
        <f>H17+I17+L17+M17</f>
        <v/>
      </c>
      <c r="O17" s="19">
        <f>N17*G17</f>
        <v/>
      </c>
      <c r="P17" s="20" t="n">
        <v>0</v>
      </c>
      <c r="Q17" s="20" t="n">
        <v>0</v>
      </c>
      <c r="R17" s="20" t="n">
        <v>0</v>
      </c>
      <c r="S17" s="20" t="n">
        <v>0</v>
      </c>
      <c r="T17" s="17">
        <f>SUM(P17:S17)</f>
        <v/>
      </c>
      <c r="U17" s="20" t="n">
        <v>0</v>
      </c>
      <c r="V17" s="20" t="n">
        <v>0</v>
      </c>
      <c r="W17" s="19">
        <f>O17-T17+IF(V17="",0,V17)</f>
        <v/>
      </c>
      <c r="X17" s="15" t="inlineStr"/>
    </row>
    <row r="18">
      <c r="A18" s="21" t="n">
        <v>14</v>
      </c>
      <c r="B18" s="21" t="inlineStr">
        <is>
          <t>EMP-102</t>
        </is>
      </c>
      <c r="C18" s="22" t="inlineStr">
        <is>
          <t>Ugam</t>
        </is>
      </c>
      <c r="D18" s="21" t="inlineStr">
        <is>
          <t>Palra Warehouse</t>
        </is>
      </c>
      <c r="E18" s="23" t="n">
        <v>18000</v>
      </c>
      <c r="F18" s="21" t="n">
        <v>10</v>
      </c>
      <c r="G18" s="24">
        <f>E18/(31*F18)</f>
        <v/>
      </c>
      <c r="H18" s="24" t="n">
        <v>244.27</v>
      </c>
      <c r="I18" s="25" t="n">
        <v>0.96</v>
      </c>
      <c r="J18" s="24">
        <f>G18</f>
        <v/>
      </c>
      <c r="K18" s="24">
        <f>I18*J18</f>
        <v/>
      </c>
      <c r="L18" s="25" t="n">
        <v>40</v>
      </c>
      <c r="M18" s="25" t="n">
        <v>0</v>
      </c>
      <c r="N18" s="24">
        <f>H18+I18+L18+M18</f>
        <v/>
      </c>
      <c r="O18" s="26">
        <f>N18*G18</f>
        <v/>
      </c>
      <c r="P18" s="27" t="n">
        <v>0</v>
      </c>
      <c r="Q18" s="27" t="n">
        <v>0</v>
      </c>
      <c r="R18" s="27" t="n">
        <v>0</v>
      </c>
      <c r="S18" s="27" t="n">
        <v>0</v>
      </c>
      <c r="T18" s="24">
        <f>SUM(P18:S18)</f>
        <v/>
      </c>
      <c r="U18" s="27" t="n">
        <v>0</v>
      </c>
      <c r="V18" s="27" t="n">
        <v>0</v>
      </c>
      <c r="W18" s="26">
        <f>O18-T18+IF(V18="",0,V18)</f>
        <v/>
      </c>
      <c r="X18" s="22" t="inlineStr"/>
    </row>
    <row r="19">
      <c r="A19" s="14" t="n">
        <v>15</v>
      </c>
      <c r="B19" s="14" t="inlineStr">
        <is>
          <t>EMP-440</t>
        </is>
      </c>
      <c r="C19" s="15" t="inlineStr">
        <is>
          <t>nandini nayak</t>
        </is>
      </c>
      <c r="D19" s="14" t="inlineStr">
        <is>
          <t>Ajmer</t>
        </is>
      </c>
      <c r="E19" s="16" t="n">
        <v>12000</v>
      </c>
      <c r="F19" s="14" t="n">
        <v>9</v>
      </c>
      <c r="G19" s="17">
        <f>E19/(31*F19)</f>
        <v/>
      </c>
      <c r="H19" s="17" t="n">
        <v>0</v>
      </c>
      <c r="I19" s="18" t="n">
        <v>0</v>
      </c>
      <c r="J19" s="17">
        <f>G19</f>
        <v/>
      </c>
      <c r="K19" s="17">
        <f>I19*J19</f>
        <v/>
      </c>
      <c r="L19" s="18" t="n">
        <v>36</v>
      </c>
      <c r="M19" s="18" t="n">
        <v>0</v>
      </c>
      <c r="N19" s="17">
        <f>H19+I19+L19+M19</f>
        <v/>
      </c>
      <c r="O19" s="19">
        <f>N19*G19</f>
        <v/>
      </c>
      <c r="P19" s="20" t="n">
        <v>0</v>
      </c>
      <c r="Q19" s="20" t="n">
        <v>0</v>
      </c>
      <c r="R19" s="20" t="n">
        <v>0</v>
      </c>
      <c r="S19" s="20" t="n">
        <v>0</v>
      </c>
      <c r="T19" s="17">
        <f>SUM(P19:S19)</f>
        <v/>
      </c>
      <c r="U19" s="20" t="n">
        <v>0</v>
      </c>
      <c r="V19" s="20" t="n">
        <v>0</v>
      </c>
      <c r="W19" s="19">
        <f>O19-T19+IF(V19="",0,V19)</f>
        <v/>
      </c>
      <c r="X19" s="15" t="inlineStr"/>
    </row>
    <row r="20">
      <c r="A20" s="10" t="n"/>
      <c r="B20" s="10" t="n"/>
      <c r="C20" s="10" t="inlineStr">
        <is>
          <t>TOTAL</t>
        </is>
      </c>
      <c r="D20" s="10" t="n"/>
      <c r="E20" s="11">
        <f>SUM(E5:E19)</f>
        <v/>
      </c>
      <c r="F20" s="10" t="n"/>
      <c r="G20" s="10" t="n"/>
      <c r="H20" s="28">
        <f>SUM(H5:H19)</f>
        <v/>
      </c>
      <c r="I20" s="28">
        <f>SUM(I5:I19)</f>
        <v/>
      </c>
      <c r="J20" s="10" t="n"/>
      <c r="K20" s="28">
        <f>SUM(K5:K19)</f>
        <v/>
      </c>
      <c r="L20" s="28">
        <f>SUM(L5:L19)</f>
        <v/>
      </c>
      <c r="M20" s="10" t="n"/>
      <c r="N20" s="28">
        <f>SUM(N5:N19)</f>
        <v/>
      </c>
      <c r="O20" s="28">
        <f>SUM(O5:O19)</f>
        <v/>
      </c>
      <c r="P20" s="10" t="n"/>
      <c r="Q20" s="10" t="n"/>
      <c r="R20" s="10" t="n"/>
      <c r="S20" s="10" t="n"/>
      <c r="T20" s="28">
        <f>SUM(T5:T19)</f>
        <v/>
      </c>
      <c r="U20" s="10" t="n"/>
      <c r="V20" s="10" t="n"/>
      <c r="W20" s="28">
        <f>SUM(W5:W19)</f>
        <v/>
      </c>
      <c r="X20" s="10" t="n"/>
    </row>
  </sheetData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9" customWidth="1" min="7" max="7"/>
    <col width="12" customWidth="1" min="8" max="8"/>
    <col width="9" customWidth="1" min="9" max="9"/>
    <col width="10" customWidth="1" min="10" max="10"/>
    <col width="11" customWidth="1" min="11" max="11"/>
    <col width="13" customWidth="1" min="12" max="12"/>
    <col width="9" customWidth="1" min="13" max="13"/>
    <col width="10" customWidth="1" min="14" max="14"/>
    <col width="14" customWidth="1" min="15" max="15"/>
    <col width="9" customWidth="1" min="16" max="16"/>
    <col width="10" customWidth="1" min="17" max="17"/>
    <col width="10" customWidth="1" min="18" max="18"/>
    <col width="13" customWidth="1" min="19" max="19"/>
    <col width="13" customWidth="1" min="20" max="20"/>
    <col width="13" customWidth="1" min="21" max="21"/>
    <col width="11" customWidth="1" min="22" max="22"/>
    <col width="14" customWidth="1" min="23" max="23"/>
    <col width="16" customWidth="1" min="24" max="24"/>
  </cols>
  <sheetData>
    <row r="1" ht="26" customHeight="1">
      <c r="A1" s="1" t="inlineStr">
        <is>
          <t>LRSL — Salary Sheet: July 2026</t>
        </is>
      </c>
    </row>
    <row r="2">
      <c r="A2" s="13" t="inlineStr">
        <is>
          <t>Salary Month: July 2026  |  Days in Month: 31  |  Sundays: 4  |  Holidays: 0  |  Working Days: 27  |  Employees: 16</t>
        </is>
      </c>
    </row>
    <row r="4" ht="42" customHeight="1">
      <c r="A4" s="3" t="inlineStr">
        <is>
          <t>S.No</t>
        </is>
      </c>
      <c r="B4" s="3" t="inlineStr">
        <is>
          <t>Emp Code</t>
        </is>
      </c>
      <c r="C4" s="3" t="inlineStr">
        <is>
          <t>Employee Name</t>
        </is>
      </c>
      <c r="D4" s="3" t="inlineStr">
        <is>
          <t>Location</t>
        </is>
      </c>
      <c r="E4" s="3" t="inlineStr">
        <is>
          <t>Monthly Salary (₹)</t>
        </is>
      </c>
      <c r="F4" s="3" t="inlineStr">
        <is>
          <t>Shift Hrs/Day</t>
        </is>
      </c>
      <c r="G4" s="3" t="inlineStr">
        <is>
          <t>Sl/Hr (₹)</t>
        </is>
      </c>
      <c r="H4" s="3" t="inlineStr">
        <is>
          <t>Worked Hrs including OT</t>
        </is>
      </c>
      <c r="I4" s="3" t="inlineStr">
        <is>
          <t>OT Hours</t>
        </is>
      </c>
      <c r="J4" s="3" t="inlineStr">
        <is>
          <t>OT Rate/Hr (₹)</t>
        </is>
      </c>
      <c r="K4" s="3" t="inlineStr">
        <is>
          <t>OT Amount (₹)</t>
        </is>
      </c>
      <c r="L4" s="3" t="inlineStr">
        <is>
          <t>Additional Hrs (Sundays)</t>
        </is>
      </c>
      <c r="M4" s="3" t="inlineStr">
        <is>
          <t>PH Hours</t>
        </is>
      </c>
      <c r="N4" s="3" t="inlineStr">
        <is>
          <t>Total Hrs</t>
        </is>
      </c>
      <c r="O4" s="3" t="inlineStr">
        <is>
          <t>Gross Salary (₹)</t>
        </is>
      </c>
      <c r="P4" s="3" t="inlineStr">
        <is>
          <t>TDS (₹)</t>
        </is>
      </c>
      <c r="Q4" s="3" t="inlineStr">
        <is>
          <t>Loan/Amt (₹)</t>
        </is>
      </c>
      <c r="R4" s="3" t="inlineStr">
        <is>
          <t>Advance (₹)</t>
        </is>
      </c>
      <c r="S4" s="3" t="inlineStr">
        <is>
          <t>Security Deposit (₹)</t>
        </is>
      </c>
      <c r="T4" s="3" t="inlineStr">
        <is>
          <t>Total Deductions (₹)</t>
        </is>
      </c>
      <c r="U4" s="3" t="inlineStr">
        <is>
          <t>Balance Loan Amt (₹)</t>
        </is>
      </c>
      <c r="V4" s="3" t="inlineStr">
        <is>
          <t>Arrear (₹)</t>
        </is>
      </c>
      <c r="W4" s="3" t="inlineStr">
        <is>
          <t>Net Salary (₹)</t>
        </is>
      </c>
      <c r="X4" s="3" t="inlineStr">
        <is>
          <t>Remarks</t>
        </is>
      </c>
    </row>
    <row r="5">
      <c r="A5" s="14" t="n">
        <v>1</v>
      </c>
      <c r="B5" s="14" t="inlineStr">
        <is>
          <t>EMP-330</t>
        </is>
      </c>
      <c r="C5" s="15" t="inlineStr">
        <is>
          <t>Anil</t>
        </is>
      </c>
      <c r="D5" s="14" t="inlineStr">
        <is>
          <t>Roofing Factory</t>
        </is>
      </c>
      <c r="E5" s="16" t="n">
        <v>13950</v>
      </c>
      <c r="F5" s="14" t="n">
        <v>9</v>
      </c>
      <c r="G5" s="17">
        <f>E5/(31*F5)</f>
        <v/>
      </c>
      <c r="H5" s="17" t="n">
        <v>143.32</v>
      </c>
      <c r="I5" s="18" t="n">
        <v>0.16</v>
      </c>
      <c r="J5" s="17">
        <f>G5</f>
        <v/>
      </c>
      <c r="K5" s="17">
        <f>I5*J5</f>
        <v/>
      </c>
      <c r="L5" s="18" t="n">
        <v>36</v>
      </c>
      <c r="M5" s="18" t="n">
        <v>0</v>
      </c>
      <c r="N5" s="17">
        <f>H5+I5+L5+M5</f>
        <v/>
      </c>
      <c r="O5" s="19">
        <f>N5*G5</f>
        <v/>
      </c>
      <c r="P5" s="20" t="n">
        <v>0</v>
      </c>
      <c r="Q5" s="20" t="n">
        <v>0</v>
      </c>
      <c r="R5" s="20" t="n">
        <v>0</v>
      </c>
      <c r="S5" s="20" t="n">
        <v>0</v>
      </c>
      <c r="T5" s="17">
        <f>SUM(P5:S5)</f>
        <v/>
      </c>
      <c r="U5" s="20" t="n">
        <v>0</v>
      </c>
      <c r="V5" s="20" t="n">
        <v>0</v>
      </c>
      <c r="W5" s="19">
        <f>O5-T5+IF(V5="",0,V5)</f>
        <v/>
      </c>
      <c r="X5" s="15" t="inlineStr"/>
    </row>
    <row r="6">
      <c r="A6" s="21" t="n">
        <v>2</v>
      </c>
      <c r="B6" s="21" t="inlineStr">
        <is>
          <t>EMP-423</t>
        </is>
      </c>
      <c r="C6" s="22" t="inlineStr">
        <is>
          <t>Arjun Udaywal</t>
        </is>
      </c>
      <c r="D6" s="21" t="inlineStr">
        <is>
          <t>Ajmer</t>
        </is>
      </c>
      <c r="E6" s="23" t="n">
        <v>23000</v>
      </c>
      <c r="F6" s="21" t="n">
        <v>9</v>
      </c>
      <c r="G6" s="24">
        <f>E6/(31*F6)</f>
        <v/>
      </c>
      <c r="H6" s="24" t="n">
        <v>248.58</v>
      </c>
      <c r="I6" s="25" t="n">
        <v>7.93</v>
      </c>
      <c r="J6" s="24">
        <f>G6</f>
        <v/>
      </c>
      <c r="K6" s="24">
        <f>I6*J6</f>
        <v/>
      </c>
      <c r="L6" s="25" t="n">
        <v>36</v>
      </c>
      <c r="M6" s="25" t="n">
        <v>0</v>
      </c>
      <c r="N6" s="24">
        <f>H6+I6+L6+M6</f>
        <v/>
      </c>
      <c r="O6" s="26">
        <f>N6*G6</f>
        <v/>
      </c>
      <c r="P6" s="27" t="n">
        <v>0</v>
      </c>
      <c r="Q6" s="27" t="n">
        <v>0</v>
      </c>
      <c r="R6" s="27" t="n">
        <v>0</v>
      </c>
      <c r="S6" s="27" t="n">
        <v>0</v>
      </c>
      <c r="T6" s="24">
        <f>SUM(P6:S6)</f>
        <v/>
      </c>
      <c r="U6" s="27" t="n">
        <v>0</v>
      </c>
      <c r="V6" s="27" t="n">
        <v>0</v>
      </c>
      <c r="W6" s="26">
        <f>O6-T6+IF(V6="",0,V6)</f>
        <v/>
      </c>
      <c r="X6" s="22" t="inlineStr"/>
    </row>
    <row r="7">
      <c r="A7" s="14" t="n">
        <v>3</v>
      </c>
      <c r="B7" s="14" t="inlineStr">
        <is>
          <t>EMP-420</t>
        </is>
      </c>
      <c r="C7" s="15" t="inlineStr">
        <is>
          <t>Arti Sharma</t>
        </is>
      </c>
      <c r="D7" s="14" t="inlineStr">
        <is>
          <t>Ajmer</t>
        </is>
      </c>
      <c r="E7" s="16" t="n">
        <v>20000</v>
      </c>
      <c r="F7" s="14" t="n">
        <v>9</v>
      </c>
      <c r="G7" s="17">
        <f>E7/(31*F7)</f>
        <v/>
      </c>
      <c r="H7" s="17" t="n">
        <v>236.02</v>
      </c>
      <c r="I7" s="18" t="n">
        <v>4.71</v>
      </c>
      <c r="J7" s="17">
        <f>G7</f>
        <v/>
      </c>
      <c r="K7" s="17">
        <f>I7*J7</f>
        <v/>
      </c>
      <c r="L7" s="18" t="n">
        <v>36</v>
      </c>
      <c r="M7" s="18" t="n">
        <v>0</v>
      </c>
      <c r="N7" s="17">
        <f>H7+I7+L7+M7</f>
        <v/>
      </c>
      <c r="O7" s="19">
        <f>N7*G7</f>
        <v/>
      </c>
      <c r="P7" s="20" t="n">
        <v>0</v>
      </c>
      <c r="Q7" s="20" t="n">
        <v>0</v>
      </c>
      <c r="R7" s="20" t="n">
        <v>0</v>
      </c>
      <c r="S7" s="20" t="n">
        <v>0</v>
      </c>
      <c r="T7" s="17">
        <f>SUM(P7:S7)</f>
        <v/>
      </c>
      <c r="U7" s="20" t="n">
        <v>0</v>
      </c>
      <c r="V7" s="20" t="n">
        <v>0</v>
      </c>
      <c r="W7" s="19">
        <f>O7-T7+IF(V7="",0,V7)</f>
        <v/>
      </c>
      <c r="X7" s="15" t="inlineStr"/>
    </row>
    <row r="8">
      <c r="A8" s="21" t="n">
        <v>4</v>
      </c>
      <c r="B8" s="21" t="inlineStr">
        <is>
          <t>EMP-331</t>
        </is>
      </c>
      <c r="C8" s="22" t="inlineStr">
        <is>
          <t>Bhagchand</t>
        </is>
      </c>
      <c r="D8" s="21" t="inlineStr">
        <is>
          <t>Roofing Factory</t>
        </is>
      </c>
      <c r="E8" s="23" t="n">
        <v>16500</v>
      </c>
      <c r="F8" s="21" t="n">
        <v>10</v>
      </c>
      <c r="G8" s="24">
        <f>E8/(31*F8)</f>
        <v/>
      </c>
      <c r="H8" s="24" t="n">
        <v>0</v>
      </c>
      <c r="I8" s="25" t="n">
        <v>0</v>
      </c>
      <c r="J8" s="24">
        <f>G8</f>
        <v/>
      </c>
      <c r="K8" s="24">
        <f>I8*J8</f>
        <v/>
      </c>
      <c r="L8" s="25" t="n">
        <v>40</v>
      </c>
      <c r="M8" s="25" t="n">
        <v>0</v>
      </c>
      <c r="N8" s="24">
        <f>H8+I8+L8+M8</f>
        <v/>
      </c>
      <c r="O8" s="26">
        <f>N8*G8</f>
        <v/>
      </c>
      <c r="P8" s="27" t="n">
        <v>0</v>
      </c>
      <c r="Q8" s="27" t="n">
        <v>0</v>
      </c>
      <c r="R8" s="27" t="n">
        <v>0</v>
      </c>
      <c r="S8" s="27" t="n">
        <v>0</v>
      </c>
      <c r="T8" s="24">
        <f>SUM(P8:S8)</f>
        <v/>
      </c>
      <c r="U8" s="27" t="n">
        <v>0</v>
      </c>
      <c r="V8" s="27" t="n">
        <v>0</v>
      </c>
      <c r="W8" s="26">
        <f>O8-T8+IF(V8="",0,V8)</f>
        <v/>
      </c>
      <c r="X8" s="22" t="inlineStr"/>
    </row>
    <row r="9">
      <c r="A9" s="14" t="n">
        <v>5</v>
      </c>
      <c r="B9" s="14" t="inlineStr">
        <is>
          <t>EMP-429</t>
        </is>
      </c>
      <c r="C9" s="15" t="inlineStr">
        <is>
          <t>Girish Shani</t>
        </is>
      </c>
      <c r="D9" s="14" t="inlineStr">
        <is>
          <t>Ajmer</t>
        </is>
      </c>
      <c r="E9" s="16" t="n">
        <v>15000</v>
      </c>
      <c r="F9" s="14" t="n">
        <v>9</v>
      </c>
      <c r="G9" s="17">
        <f>E9/(31*F9)</f>
        <v/>
      </c>
      <c r="H9" s="17" t="n">
        <v>90.27</v>
      </c>
      <c r="I9" s="18" t="n">
        <v>1.01</v>
      </c>
      <c r="J9" s="17">
        <f>G9</f>
        <v/>
      </c>
      <c r="K9" s="17">
        <f>I9*J9</f>
        <v/>
      </c>
      <c r="L9" s="18" t="n">
        <v>36</v>
      </c>
      <c r="M9" s="18" t="n">
        <v>0</v>
      </c>
      <c r="N9" s="17">
        <f>H9+I9+L9+M9</f>
        <v/>
      </c>
      <c r="O9" s="19">
        <f>N9*G9</f>
        <v/>
      </c>
      <c r="P9" s="20" t="n">
        <v>0</v>
      </c>
      <c r="Q9" s="20" t="n">
        <v>0</v>
      </c>
      <c r="R9" s="20" t="n">
        <v>0</v>
      </c>
      <c r="S9" s="20" t="n">
        <v>0</v>
      </c>
      <c r="T9" s="17">
        <f>SUM(P9:S9)</f>
        <v/>
      </c>
      <c r="U9" s="20" t="n">
        <v>0</v>
      </c>
      <c r="V9" s="20" t="n">
        <v>0</v>
      </c>
      <c r="W9" s="19">
        <f>O9-T9+IF(V9="",0,V9)</f>
        <v/>
      </c>
      <c r="X9" s="15" t="inlineStr"/>
    </row>
    <row r="10">
      <c r="A10" s="21" t="n">
        <v>6</v>
      </c>
      <c r="B10" s="21" t="inlineStr">
        <is>
          <t>EMP-333</t>
        </is>
      </c>
      <c r="C10" s="22" t="inlineStr">
        <is>
          <t>Gori Rawat</t>
        </is>
      </c>
      <c r="D10" s="21" t="inlineStr">
        <is>
          <t>Roofing Factory</t>
        </is>
      </c>
      <c r="E10" s="23" t="n">
        <v>11500</v>
      </c>
      <c r="F10" s="21" t="n">
        <v>9</v>
      </c>
      <c r="G10" s="24">
        <f>E10/(31*F10)</f>
        <v/>
      </c>
      <c r="H10" s="24" t="n">
        <v>0</v>
      </c>
      <c r="I10" s="25" t="n">
        <v>0</v>
      </c>
      <c r="J10" s="24">
        <f>G10</f>
        <v/>
      </c>
      <c r="K10" s="24">
        <f>I10*J10</f>
        <v/>
      </c>
      <c r="L10" s="25" t="n">
        <v>36</v>
      </c>
      <c r="M10" s="25" t="n">
        <v>0</v>
      </c>
      <c r="N10" s="24">
        <f>H10+I10+L10+M10</f>
        <v/>
      </c>
      <c r="O10" s="26">
        <f>N10*G10</f>
        <v/>
      </c>
      <c r="P10" s="27" t="n">
        <v>0</v>
      </c>
      <c r="Q10" s="27" t="n">
        <v>0</v>
      </c>
      <c r="R10" s="27" t="n">
        <v>0</v>
      </c>
      <c r="S10" s="27" t="n">
        <v>0</v>
      </c>
      <c r="T10" s="24">
        <f>SUM(P10:S10)</f>
        <v/>
      </c>
      <c r="U10" s="27" t="n">
        <v>0</v>
      </c>
      <c r="V10" s="27" t="n">
        <v>0</v>
      </c>
      <c r="W10" s="26">
        <f>O10-T10+IF(V10="",0,V10)</f>
        <v/>
      </c>
      <c r="X10" s="22" t="inlineStr"/>
    </row>
    <row r="11">
      <c r="A11" s="14" t="n">
        <v>7</v>
      </c>
      <c r="B11" s="14" t="inlineStr">
        <is>
          <t>EMP-007</t>
        </is>
      </c>
      <c r="C11" s="15" t="inlineStr">
        <is>
          <t>Khushboo Manglani</t>
        </is>
      </c>
      <c r="D11" s="14" t="inlineStr">
        <is>
          <t>Ajmer</t>
        </is>
      </c>
      <c r="E11" s="16" t="n">
        <v>18000</v>
      </c>
      <c r="F11" s="14" t="n">
        <v>9</v>
      </c>
      <c r="G11" s="17">
        <f>E11/(31*F11)</f>
        <v/>
      </c>
      <c r="H11" s="17" t="n">
        <v>216.85</v>
      </c>
      <c r="I11" s="18" t="n">
        <v>1.08</v>
      </c>
      <c r="J11" s="17">
        <f>G11</f>
        <v/>
      </c>
      <c r="K11" s="17">
        <f>I11*J11</f>
        <v/>
      </c>
      <c r="L11" s="18" t="n">
        <v>36</v>
      </c>
      <c r="M11" s="18" t="n">
        <v>0</v>
      </c>
      <c r="N11" s="17">
        <f>H11+I11+L11+M11</f>
        <v/>
      </c>
      <c r="O11" s="19">
        <f>N11*G11</f>
        <v/>
      </c>
      <c r="P11" s="20" t="n">
        <v>0</v>
      </c>
      <c r="Q11" s="20" t="n">
        <v>0</v>
      </c>
      <c r="R11" s="20" t="n">
        <v>0</v>
      </c>
      <c r="S11" s="20" t="n">
        <v>0</v>
      </c>
      <c r="T11" s="17">
        <f>SUM(P11:S11)</f>
        <v/>
      </c>
      <c r="U11" s="20" t="n">
        <v>0</v>
      </c>
      <c r="V11" s="20" t="n">
        <v>0</v>
      </c>
      <c r="W11" s="19">
        <f>O11-T11+IF(V11="",0,V11)</f>
        <v/>
      </c>
      <c r="X11" s="15" t="inlineStr"/>
    </row>
    <row r="12">
      <c r="A12" s="21" t="n">
        <v>8</v>
      </c>
      <c r="B12" s="21" t="inlineStr">
        <is>
          <t>EMP-428</t>
        </is>
      </c>
      <c r="C12" s="22" t="inlineStr">
        <is>
          <t>Mukul Sharma</t>
        </is>
      </c>
      <c r="D12" s="21" t="inlineStr">
        <is>
          <t>Ajmer</t>
        </is>
      </c>
      <c r="E12" s="23" t="n">
        <v>5250</v>
      </c>
      <c r="F12" s="21" t="n">
        <v>9</v>
      </c>
      <c r="G12" s="24">
        <f>E12/(31*F12)</f>
        <v/>
      </c>
      <c r="H12" s="24" t="n">
        <v>221.8</v>
      </c>
      <c r="I12" s="25" t="n">
        <v>2.53</v>
      </c>
      <c r="J12" s="24">
        <f>G12</f>
        <v/>
      </c>
      <c r="K12" s="24">
        <f>I12*J12</f>
        <v/>
      </c>
      <c r="L12" s="25" t="n">
        <v>36</v>
      </c>
      <c r="M12" s="25" t="n">
        <v>0</v>
      </c>
      <c r="N12" s="24">
        <f>H12+I12+L12+M12</f>
        <v/>
      </c>
      <c r="O12" s="26">
        <f>N12*G12</f>
        <v/>
      </c>
      <c r="P12" s="27" t="n">
        <v>0</v>
      </c>
      <c r="Q12" s="27" t="n">
        <v>0</v>
      </c>
      <c r="R12" s="27" t="n">
        <v>0</v>
      </c>
      <c r="S12" s="27" t="n">
        <v>0</v>
      </c>
      <c r="T12" s="24">
        <f>SUM(P12:S12)</f>
        <v/>
      </c>
      <c r="U12" s="27" t="n">
        <v>0</v>
      </c>
      <c r="V12" s="27" t="n">
        <v>0</v>
      </c>
      <c r="W12" s="26">
        <f>O12-T12+IF(V12="",0,V12)</f>
        <v/>
      </c>
      <c r="X12" s="22" t="inlineStr"/>
    </row>
    <row r="13">
      <c r="A13" s="14" t="n">
        <v>9</v>
      </c>
      <c r="B13" s="14" t="inlineStr">
        <is>
          <t>EMP-306</t>
        </is>
      </c>
      <c r="C13" s="15" t="inlineStr">
        <is>
          <t>Parkash</t>
        </is>
      </c>
      <c r="D13" s="14" t="inlineStr">
        <is>
          <t>Roofing Factory</t>
        </is>
      </c>
      <c r="E13" s="16" t="n">
        <v>12000</v>
      </c>
      <c r="F13" s="14" t="n">
        <v>9</v>
      </c>
      <c r="G13" s="17">
        <f>E13/(31*F13)</f>
        <v/>
      </c>
      <c r="H13" s="17" t="n">
        <v>126.22</v>
      </c>
      <c r="I13" s="18" t="n">
        <v>0.62</v>
      </c>
      <c r="J13" s="17">
        <f>G13</f>
        <v/>
      </c>
      <c r="K13" s="17">
        <f>I13*J13</f>
        <v/>
      </c>
      <c r="L13" s="18" t="n">
        <v>36</v>
      </c>
      <c r="M13" s="18" t="n">
        <v>0</v>
      </c>
      <c r="N13" s="17">
        <f>H13+I13+L13+M13</f>
        <v/>
      </c>
      <c r="O13" s="19">
        <f>N13*G13</f>
        <v/>
      </c>
      <c r="P13" s="20" t="n">
        <v>0</v>
      </c>
      <c r="Q13" s="20" t="n">
        <v>0</v>
      </c>
      <c r="R13" s="20" t="n">
        <v>0</v>
      </c>
      <c r="S13" s="20" t="n">
        <v>0</v>
      </c>
      <c r="T13" s="17">
        <f>SUM(P13:S13)</f>
        <v/>
      </c>
      <c r="U13" s="20" t="n">
        <v>0</v>
      </c>
      <c r="V13" s="20" t="n">
        <v>0</v>
      </c>
      <c r="W13" s="19">
        <f>O13-T13+IF(V13="",0,V13)</f>
        <v/>
      </c>
      <c r="X13" s="15" t="inlineStr"/>
    </row>
    <row r="14">
      <c r="A14" s="21" t="n">
        <v>10</v>
      </c>
      <c r="B14" s="21" t="inlineStr">
        <is>
          <t>EMP-328</t>
        </is>
      </c>
      <c r="C14" s="22" t="inlineStr">
        <is>
          <t>Pradhan</t>
        </is>
      </c>
      <c r="D14" s="21" t="inlineStr">
        <is>
          <t>Roofing Factory</t>
        </is>
      </c>
      <c r="E14" s="23" t="n">
        <v>13950</v>
      </c>
      <c r="F14" s="21" t="n">
        <v>9</v>
      </c>
      <c r="G14" s="24">
        <f>E14/(31*F14)</f>
        <v/>
      </c>
      <c r="H14" s="24" t="n">
        <v>134.98</v>
      </c>
      <c r="I14" s="25" t="n">
        <v>0.78</v>
      </c>
      <c r="J14" s="24">
        <f>G14</f>
        <v/>
      </c>
      <c r="K14" s="24">
        <f>I14*J14</f>
        <v/>
      </c>
      <c r="L14" s="25" t="n">
        <v>36</v>
      </c>
      <c r="M14" s="25" t="n">
        <v>0</v>
      </c>
      <c r="N14" s="24">
        <f>H14+I14+L14+M14</f>
        <v/>
      </c>
      <c r="O14" s="26">
        <f>N14*G14</f>
        <v/>
      </c>
      <c r="P14" s="27" t="n">
        <v>0</v>
      </c>
      <c r="Q14" s="27" t="n">
        <v>0</v>
      </c>
      <c r="R14" s="27" t="n">
        <v>0</v>
      </c>
      <c r="S14" s="27" t="n">
        <v>0</v>
      </c>
      <c r="T14" s="24">
        <f>SUM(P14:S14)</f>
        <v/>
      </c>
      <c r="U14" s="27" t="n">
        <v>0</v>
      </c>
      <c r="V14" s="27" t="n">
        <v>0</v>
      </c>
      <c r="W14" s="26">
        <f>O14-T14+IF(V14="",0,V14)</f>
        <v/>
      </c>
      <c r="X14" s="22" t="inlineStr"/>
    </row>
    <row r="15">
      <c r="A15" s="14" t="n">
        <v>11</v>
      </c>
      <c r="B15" s="14" t="inlineStr">
        <is>
          <t>EMP-034</t>
        </is>
      </c>
      <c r="C15" s="15" t="inlineStr">
        <is>
          <t>Prakash</t>
        </is>
      </c>
      <c r="D15" s="14" t="inlineStr">
        <is>
          <t>Ajmer</t>
        </is>
      </c>
      <c r="E15" s="16" t="n">
        <v>60000</v>
      </c>
      <c r="F15" s="14" t="n">
        <v>9</v>
      </c>
      <c r="G15" s="17">
        <f>E15/(31*F15)</f>
        <v/>
      </c>
      <c r="H15" s="17" t="n">
        <v>48</v>
      </c>
      <c r="I15" s="18" t="n">
        <v>0</v>
      </c>
      <c r="J15" s="17">
        <f>G15</f>
        <v/>
      </c>
      <c r="K15" s="17">
        <f>I15*J15</f>
        <v/>
      </c>
      <c r="L15" s="18" t="n">
        <v>36</v>
      </c>
      <c r="M15" s="18" t="n">
        <v>0</v>
      </c>
      <c r="N15" s="17">
        <f>H15+I15+L15+M15</f>
        <v/>
      </c>
      <c r="O15" s="19">
        <f>N15*G15</f>
        <v/>
      </c>
      <c r="P15" s="20" t="n">
        <v>0</v>
      </c>
      <c r="Q15" s="20" t="n">
        <v>0</v>
      </c>
      <c r="R15" s="20" t="n">
        <v>0</v>
      </c>
      <c r="S15" s="20" t="n">
        <v>0</v>
      </c>
      <c r="T15" s="17">
        <f>SUM(P15:S15)</f>
        <v/>
      </c>
      <c r="U15" s="20" t="n">
        <v>0</v>
      </c>
      <c r="V15" s="20" t="n">
        <v>0</v>
      </c>
      <c r="W15" s="19">
        <f>O15-T15+IF(V15="",0,V15)</f>
        <v/>
      </c>
      <c r="X15" s="15" t="inlineStr"/>
    </row>
    <row r="16">
      <c r="A16" s="21" t="n">
        <v>12</v>
      </c>
      <c r="B16" s="21" t="inlineStr">
        <is>
          <t>EMP-332</t>
        </is>
      </c>
      <c r="C16" s="22" t="inlineStr">
        <is>
          <t>Raji Devi</t>
        </is>
      </c>
      <c r="D16" s="21" t="inlineStr">
        <is>
          <t>Roofing Factory</t>
        </is>
      </c>
      <c r="E16" s="23" t="n">
        <v>6000</v>
      </c>
      <c r="F16" s="21" t="n">
        <v>4</v>
      </c>
      <c r="G16" s="24">
        <f>E16/(31*F16)</f>
        <v/>
      </c>
      <c r="H16" s="24" t="n">
        <v>0</v>
      </c>
      <c r="I16" s="25" t="n">
        <v>0</v>
      </c>
      <c r="J16" s="24">
        <f>G16</f>
        <v/>
      </c>
      <c r="K16" s="24">
        <f>I16*J16</f>
        <v/>
      </c>
      <c r="L16" s="25" t="n">
        <v>16</v>
      </c>
      <c r="M16" s="25" t="n">
        <v>0</v>
      </c>
      <c r="N16" s="24">
        <f>H16+I16+L16+M16</f>
        <v/>
      </c>
      <c r="O16" s="26">
        <f>N16*G16</f>
        <v/>
      </c>
      <c r="P16" s="27" t="n">
        <v>0</v>
      </c>
      <c r="Q16" s="27" t="n">
        <v>0</v>
      </c>
      <c r="R16" s="27" t="n">
        <v>0</v>
      </c>
      <c r="S16" s="27" t="n">
        <v>0</v>
      </c>
      <c r="T16" s="24">
        <f>SUM(P16:S16)</f>
        <v/>
      </c>
      <c r="U16" s="27" t="n">
        <v>0</v>
      </c>
      <c r="V16" s="27" t="n">
        <v>0</v>
      </c>
      <c r="W16" s="26">
        <f>O16-T16+IF(V16="",0,V16)</f>
        <v/>
      </c>
      <c r="X16" s="22" t="inlineStr"/>
    </row>
    <row r="17">
      <c r="A17" s="14" t="n">
        <v>13</v>
      </c>
      <c r="B17" s="14" t="inlineStr">
        <is>
          <t>EMP-327</t>
        </is>
      </c>
      <c r="C17" s="15" t="inlineStr">
        <is>
          <t>Ramprasad</t>
        </is>
      </c>
      <c r="D17" s="14" t="inlineStr">
        <is>
          <t>Roofing Factory</t>
        </is>
      </c>
      <c r="E17" s="16" t="n">
        <v>14000</v>
      </c>
      <c r="F17" s="14" t="n">
        <v>9</v>
      </c>
      <c r="G17" s="17">
        <f>E17/(31*F17)</f>
        <v/>
      </c>
      <c r="H17" s="17" t="n">
        <v>126.5</v>
      </c>
      <c r="I17" s="18" t="n">
        <v>0.87</v>
      </c>
      <c r="J17" s="17">
        <f>G17</f>
        <v/>
      </c>
      <c r="K17" s="17">
        <f>I17*J17</f>
        <v/>
      </c>
      <c r="L17" s="18" t="n">
        <v>36</v>
      </c>
      <c r="M17" s="18" t="n">
        <v>0</v>
      </c>
      <c r="N17" s="17">
        <f>H17+I17+L17+M17</f>
        <v/>
      </c>
      <c r="O17" s="19">
        <f>N17*G17</f>
        <v/>
      </c>
      <c r="P17" s="20" t="n">
        <v>0</v>
      </c>
      <c r="Q17" s="20" t="n">
        <v>0</v>
      </c>
      <c r="R17" s="20" t="n">
        <v>0</v>
      </c>
      <c r="S17" s="20" t="n">
        <v>0</v>
      </c>
      <c r="T17" s="17">
        <f>SUM(P17:S17)</f>
        <v/>
      </c>
      <c r="U17" s="20" t="n">
        <v>0</v>
      </c>
      <c r="V17" s="20" t="n">
        <v>0</v>
      </c>
      <c r="W17" s="19">
        <f>O17-T17+IF(V17="",0,V17)</f>
        <v/>
      </c>
      <c r="X17" s="15" t="inlineStr"/>
    </row>
    <row r="18">
      <c r="A18" s="21" t="n">
        <v>14</v>
      </c>
      <c r="B18" s="21" t="inlineStr">
        <is>
          <t>EMP-329</t>
        </is>
      </c>
      <c r="C18" s="22" t="inlineStr">
        <is>
          <t>Shaitan</t>
        </is>
      </c>
      <c r="D18" s="21" t="inlineStr">
        <is>
          <t>Roofing Factory</t>
        </is>
      </c>
      <c r="E18" s="23" t="n">
        <v>13950</v>
      </c>
      <c r="F18" s="21" t="n">
        <v>9</v>
      </c>
      <c r="G18" s="24">
        <f>E18/(31*F18)</f>
        <v/>
      </c>
      <c r="H18" s="24" t="n">
        <v>124.88</v>
      </c>
      <c r="I18" s="25" t="n">
        <v>0.2</v>
      </c>
      <c r="J18" s="24">
        <f>G18</f>
        <v/>
      </c>
      <c r="K18" s="24">
        <f>I18*J18</f>
        <v/>
      </c>
      <c r="L18" s="25" t="n">
        <v>36</v>
      </c>
      <c r="M18" s="25" t="n">
        <v>0</v>
      </c>
      <c r="N18" s="24">
        <f>H18+I18+L18+M18</f>
        <v/>
      </c>
      <c r="O18" s="26">
        <f>N18*G18</f>
        <v/>
      </c>
      <c r="P18" s="27" t="n">
        <v>0</v>
      </c>
      <c r="Q18" s="27" t="n">
        <v>0</v>
      </c>
      <c r="R18" s="27" t="n">
        <v>0</v>
      </c>
      <c r="S18" s="27" t="n">
        <v>0</v>
      </c>
      <c r="T18" s="24">
        <f>SUM(P18:S18)</f>
        <v/>
      </c>
      <c r="U18" s="27" t="n">
        <v>0</v>
      </c>
      <c r="V18" s="27" t="n">
        <v>0</v>
      </c>
      <c r="W18" s="26">
        <f>O18-T18+IF(V18="",0,V18)</f>
        <v/>
      </c>
      <c r="X18" s="22" t="inlineStr"/>
    </row>
    <row r="19">
      <c r="A19" s="14" t="n">
        <v>15</v>
      </c>
      <c r="B19" s="14" t="inlineStr">
        <is>
          <t>EMP-326</t>
        </is>
      </c>
      <c r="C19" s="15" t="inlineStr">
        <is>
          <t>Sitadevi</t>
        </is>
      </c>
      <c r="D19" s="14" t="inlineStr">
        <is>
          <t>Roofing Factory</t>
        </is>
      </c>
      <c r="E19" s="16" t="n">
        <v>10000</v>
      </c>
      <c r="F19" s="14" t="n">
        <v>9</v>
      </c>
      <c r="G19" s="17">
        <f>E19/(31*F19)</f>
        <v/>
      </c>
      <c r="H19" s="17" t="n">
        <v>134.62</v>
      </c>
      <c r="I19" s="18" t="n">
        <v>0.14</v>
      </c>
      <c r="J19" s="17">
        <f>G19</f>
        <v/>
      </c>
      <c r="K19" s="17">
        <f>I19*J19</f>
        <v/>
      </c>
      <c r="L19" s="18" t="n">
        <v>36</v>
      </c>
      <c r="M19" s="18" t="n">
        <v>0</v>
      </c>
      <c r="N19" s="17">
        <f>H19+I19+L19+M19</f>
        <v/>
      </c>
      <c r="O19" s="19">
        <f>N19*G19</f>
        <v/>
      </c>
      <c r="P19" s="20" t="n">
        <v>0</v>
      </c>
      <c r="Q19" s="20" t="n">
        <v>0</v>
      </c>
      <c r="R19" s="20" t="n">
        <v>0</v>
      </c>
      <c r="S19" s="20" t="n">
        <v>0</v>
      </c>
      <c r="T19" s="17">
        <f>SUM(P19:S19)</f>
        <v/>
      </c>
      <c r="U19" s="20" t="n">
        <v>0</v>
      </c>
      <c r="V19" s="20" t="n">
        <v>0</v>
      </c>
      <c r="W19" s="19">
        <f>O19-T19+IF(V19="",0,V19)</f>
        <v/>
      </c>
      <c r="X19" s="15" t="inlineStr"/>
    </row>
    <row r="20">
      <c r="A20" s="21" t="n">
        <v>16</v>
      </c>
      <c r="B20" s="21" t="inlineStr">
        <is>
          <t>EMP-308</t>
        </is>
      </c>
      <c r="C20" s="22" t="inlineStr">
        <is>
          <t>Swaroopnath</t>
        </is>
      </c>
      <c r="D20" s="21" t="inlineStr">
        <is>
          <t>Ajmer</t>
        </is>
      </c>
      <c r="E20" s="23" t="n">
        <v>18997</v>
      </c>
      <c r="F20" s="21" t="n">
        <v>9</v>
      </c>
      <c r="G20" s="24">
        <f>E20/(31*F20)</f>
        <v/>
      </c>
      <c r="H20" s="24" t="n">
        <v>0</v>
      </c>
      <c r="I20" s="25" t="n">
        <v>0</v>
      </c>
      <c r="J20" s="24">
        <f>G20</f>
        <v/>
      </c>
      <c r="K20" s="24">
        <f>I20*J20</f>
        <v/>
      </c>
      <c r="L20" s="25" t="n">
        <v>36</v>
      </c>
      <c r="M20" s="25" t="n">
        <v>0</v>
      </c>
      <c r="N20" s="24">
        <f>H20+I20+L20+M20</f>
        <v/>
      </c>
      <c r="O20" s="26">
        <f>N20*G20</f>
        <v/>
      </c>
      <c r="P20" s="27" t="n">
        <v>0</v>
      </c>
      <c r="Q20" s="27" t="n">
        <v>0</v>
      </c>
      <c r="R20" s="27" t="n">
        <v>0</v>
      </c>
      <c r="S20" s="27" t="n">
        <v>0</v>
      </c>
      <c r="T20" s="24">
        <f>SUM(P20:S20)</f>
        <v/>
      </c>
      <c r="U20" s="27" t="n">
        <v>0</v>
      </c>
      <c r="V20" s="27" t="n">
        <v>0</v>
      </c>
      <c r="W20" s="26">
        <f>O20-T20+IF(V20="",0,V20)</f>
        <v/>
      </c>
      <c r="X20" s="22" t="inlineStr"/>
    </row>
    <row r="21">
      <c r="A21" s="10" t="n"/>
      <c r="B21" s="10" t="n"/>
      <c r="C21" s="10" t="inlineStr">
        <is>
          <t>TOTAL</t>
        </is>
      </c>
      <c r="D21" s="10" t="n"/>
      <c r="E21" s="11">
        <f>SUM(E5:E20)</f>
        <v/>
      </c>
      <c r="F21" s="10" t="n"/>
      <c r="G21" s="10" t="n"/>
      <c r="H21" s="28">
        <f>SUM(H5:H20)</f>
        <v/>
      </c>
      <c r="I21" s="28">
        <f>SUM(I5:I20)</f>
        <v/>
      </c>
      <c r="J21" s="10" t="n"/>
      <c r="K21" s="28">
        <f>SUM(K5:K20)</f>
        <v/>
      </c>
      <c r="L21" s="28">
        <f>SUM(L5:L20)</f>
        <v/>
      </c>
      <c r="M21" s="10" t="n"/>
      <c r="N21" s="28">
        <f>SUM(N5:N20)</f>
        <v/>
      </c>
      <c r="O21" s="28">
        <f>SUM(O5:O20)</f>
        <v/>
      </c>
      <c r="P21" s="10" t="n"/>
      <c r="Q21" s="10" t="n"/>
      <c r="R21" s="10" t="n"/>
      <c r="S21" s="10" t="n"/>
      <c r="T21" s="28">
        <f>SUM(T5:T20)</f>
        <v/>
      </c>
      <c r="U21" s="10" t="n"/>
      <c r="V21" s="10" t="n"/>
      <c r="W21" s="28">
        <f>SUM(W5:W20)</f>
        <v/>
      </c>
      <c r="X21" s="10" t="n"/>
    </row>
  </sheetData>
  <mergeCells count="2">
    <mergeCell ref="A2:X2"/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9" customWidth="1" min="7" max="7"/>
    <col width="12" customWidth="1" min="8" max="8"/>
    <col width="9" customWidth="1" min="9" max="9"/>
    <col width="10" customWidth="1" min="10" max="10"/>
    <col width="11" customWidth="1" min="11" max="11"/>
    <col width="13" customWidth="1" min="12" max="12"/>
    <col width="9" customWidth="1" min="13" max="13"/>
    <col width="10" customWidth="1" min="14" max="14"/>
    <col width="14" customWidth="1" min="15" max="15"/>
    <col width="9" customWidth="1" min="16" max="16"/>
    <col width="10" customWidth="1" min="17" max="17"/>
    <col width="10" customWidth="1" min="18" max="18"/>
    <col width="13" customWidth="1" min="19" max="19"/>
    <col width="13" customWidth="1" min="20" max="20"/>
    <col width="13" customWidth="1" min="21" max="21"/>
    <col width="11" customWidth="1" min="22" max="22"/>
    <col width="14" customWidth="1" min="23" max="23"/>
    <col width="16" customWidth="1" min="24" max="24"/>
  </cols>
  <sheetData>
    <row r="1" ht="26" customHeight="1">
      <c r="A1" s="1" t="inlineStr">
        <is>
          <t>SDF — Salary Sheet: July 2026</t>
        </is>
      </c>
    </row>
    <row r="2">
      <c r="A2" s="13" t="inlineStr">
        <is>
          <t>Salary Month: July 2026  |  Days in Month: 31  |  Sundays: 4  |  Holidays: 0  |  Working Days: 27  |  Employees: 5</t>
        </is>
      </c>
    </row>
    <row r="4" ht="42" customHeight="1">
      <c r="A4" s="3" t="inlineStr">
        <is>
          <t>S.No</t>
        </is>
      </c>
      <c r="B4" s="3" t="inlineStr">
        <is>
          <t>Emp Code</t>
        </is>
      </c>
      <c r="C4" s="3" t="inlineStr">
        <is>
          <t>Employee Name</t>
        </is>
      </c>
      <c r="D4" s="3" t="inlineStr">
        <is>
          <t>Location</t>
        </is>
      </c>
      <c r="E4" s="3" t="inlineStr">
        <is>
          <t>Monthly Salary (₹)</t>
        </is>
      </c>
      <c r="F4" s="3" t="inlineStr">
        <is>
          <t>Shift Hrs/Day</t>
        </is>
      </c>
      <c r="G4" s="3" t="inlineStr">
        <is>
          <t>Sl/Hr (₹)</t>
        </is>
      </c>
      <c r="H4" s="3" t="inlineStr">
        <is>
          <t>Worked Hrs including OT</t>
        </is>
      </c>
      <c r="I4" s="3" t="inlineStr">
        <is>
          <t>OT Hours</t>
        </is>
      </c>
      <c r="J4" s="3" t="inlineStr">
        <is>
          <t>OT Rate/Hr (₹)</t>
        </is>
      </c>
      <c r="K4" s="3" t="inlineStr">
        <is>
          <t>OT Amount (₹)</t>
        </is>
      </c>
      <c r="L4" s="3" t="inlineStr">
        <is>
          <t>Additional Hrs (Sundays)</t>
        </is>
      </c>
      <c r="M4" s="3" t="inlineStr">
        <is>
          <t>PH Hours</t>
        </is>
      </c>
      <c r="N4" s="3" t="inlineStr">
        <is>
          <t>Total Hrs</t>
        </is>
      </c>
      <c r="O4" s="3" t="inlineStr">
        <is>
          <t>Gross Salary (₹)</t>
        </is>
      </c>
      <c r="P4" s="3" t="inlineStr">
        <is>
          <t>TDS (₹)</t>
        </is>
      </c>
      <c r="Q4" s="3" t="inlineStr">
        <is>
          <t>Loan/Amt (₹)</t>
        </is>
      </c>
      <c r="R4" s="3" t="inlineStr">
        <is>
          <t>Advance (₹)</t>
        </is>
      </c>
      <c r="S4" s="3" t="inlineStr">
        <is>
          <t>Security Deposit (₹)</t>
        </is>
      </c>
      <c r="T4" s="3" t="inlineStr">
        <is>
          <t>Total Deductions (₹)</t>
        </is>
      </c>
      <c r="U4" s="3" t="inlineStr">
        <is>
          <t>Balance Loan Amt (₹)</t>
        </is>
      </c>
      <c r="V4" s="3" t="inlineStr">
        <is>
          <t>Arrear (₹)</t>
        </is>
      </c>
      <c r="W4" s="3" t="inlineStr">
        <is>
          <t>Net Salary (₹)</t>
        </is>
      </c>
      <c r="X4" s="3" t="inlineStr">
        <is>
          <t>Remarks</t>
        </is>
      </c>
    </row>
    <row r="5">
      <c r="A5" s="14" t="n">
        <v>1</v>
      </c>
      <c r="B5" s="14" t="inlineStr">
        <is>
          <t>EMP-012</t>
        </is>
      </c>
      <c r="C5" s="15" t="inlineStr">
        <is>
          <t>Raju Gujjar</t>
        </is>
      </c>
      <c r="D5" s="14" t="inlineStr">
        <is>
          <t>Ajmer</t>
        </is>
      </c>
      <c r="E5" s="16" t="n">
        <v>11150</v>
      </c>
      <c r="F5" s="14" t="n">
        <v>10</v>
      </c>
      <c r="G5" s="17">
        <f>E5/(31*F5)</f>
        <v/>
      </c>
      <c r="H5" s="17" t="n">
        <v>274.55</v>
      </c>
      <c r="I5" s="18" t="n">
        <v>11.73</v>
      </c>
      <c r="J5" s="17">
        <f>G5</f>
        <v/>
      </c>
      <c r="K5" s="17">
        <f>I5*J5</f>
        <v/>
      </c>
      <c r="L5" s="18" t="n">
        <v>40</v>
      </c>
      <c r="M5" s="18" t="n">
        <v>0</v>
      </c>
      <c r="N5" s="17">
        <f>H5+I5+L5+M5</f>
        <v/>
      </c>
      <c r="O5" s="19">
        <f>N5*G5</f>
        <v/>
      </c>
      <c r="P5" s="20" t="n">
        <v>0</v>
      </c>
      <c r="Q5" s="20" t="n">
        <v>0</v>
      </c>
      <c r="R5" s="20" t="n">
        <v>0</v>
      </c>
      <c r="S5" s="20" t="n">
        <v>0</v>
      </c>
      <c r="T5" s="17">
        <f>SUM(P5:S5)</f>
        <v/>
      </c>
      <c r="U5" s="20" t="n">
        <v>0</v>
      </c>
      <c r="V5" s="20" t="n">
        <v>0</v>
      </c>
      <c r="W5" s="19">
        <f>O5-T5+IF(V5="",0,V5)</f>
        <v/>
      </c>
      <c r="X5" s="15" t="inlineStr"/>
    </row>
    <row r="6">
      <c r="A6" s="21" t="n">
        <v>2</v>
      </c>
      <c r="B6" s="21" t="inlineStr">
        <is>
          <t>EMP-432</t>
        </is>
      </c>
      <c r="C6" s="22" t="inlineStr">
        <is>
          <t>Reema Bajaj</t>
        </is>
      </c>
      <c r="D6" s="21" t="inlineStr">
        <is>
          <t>Ajmer</t>
        </is>
      </c>
      <c r="E6" s="23" t="n">
        <v>100000</v>
      </c>
      <c r="F6" s="21" t="n">
        <v>7</v>
      </c>
      <c r="G6" s="24">
        <f>E6/(31*F6)</f>
        <v/>
      </c>
      <c r="H6" s="24" t="n">
        <v>194.18</v>
      </c>
      <c r="I6" s="25" t="n">
        <v>5.2</v>
      </c>
      <c r="J6" s="24">
        <f>G6</f>
        <v/>
      </c>
      <c r="K6" s="24">
        <f>I6*J6</f>
        <v/>
      </c>
      <c r="L6" s="25" t="n">
        <v>28</v>
      </c>
      <c r="M6" s="25" t="n">
        <v>0</v>
      </c>
      <c r="N6" s="24">
        <f>H6+I6+L6+M6</f>
        <v/>
      </c>
      <c r="O6" s="26">
        <f>N6*G6</f>
        <v/>
      </c>
      <c r="P6" s="27" t="n">
        <v>0</v>
      </c>
      <c r="Q6" s="27" t="n">
        <v>0</v>
      </c>
      <c r="R6" s="27" t="n">
        <v>0</v>
      </c>
      <c r="S6" s="27" t="n">
        <v>0</v>
      </c>
      <c r="T6" s="24">
        <f>SUM(P6:S6)</f>
        <v/>
      </c>
      <c r="U6" s="27" t="n">
        <v>0</v>
      </c>
      <c r="V6" s="27" t="n">
        <v>0</v>
      </c>
      <c r="W6" s="26">
        <f>O6-T6+IF(V6="",0,V6)</f>
        <v/>
      </c>
      <c r="X6" s="22" t="inlineStr"/>
    </row>
    <row r="7">
      <c r="A7" s="14" t="n">
        <v>3</v>
      </c>
      <c r="B7" s="14" t="inlineStr">
        <is>
          <t>EMP-011</t>
        </is>
      </c>
      <c r="C7" s="15" t="inlineStr">
        <is>
          <t>Reena Gujjar</t>
        </is>
      </c>
      <c r="D7" s="14" t="inlineStr">
        <is>
          <t>Ajmer</t>
        </is>
      </c>
      <c r="E7" s="16" t="n">
        <v>5700</v>
      </c>
      <c r="F7" s="14" t="n">
        <v>4</v>
      </c>
      <c r="G7" s="17">
        <f>E7/(31*F7)</f>
        <v/>
      </c>
      <c r="H7" s="17" t="n">
        <v>69.98</v>
      </c>
      <c r="I7" s="18" t="n">
        <v>1.79</v>
      </c>
      <c r="J7" s="17">
        <f>G7</f>
        <v/>
      </c>
      <c r="K7" s="17">
        <f>I7*J7</f>
        <v/>
      </c>
      <c r="L7" s="18" t="n">
        <v>16</v>
      </c>
      <c r="M7" s="18" t="n">
        <v>0</v>
      </c>
      <c r="N7" s="17">
        <f>H7+I7+L7+M7</f>
        <v/>
      </c>
      <c r="O7" s="19">
        <f>N7*G7</f>
        <v/>
      </c>
      <c r="P7" s="20" t="n">
        <v>0</v>
      </c>
      <c r="Q7" s="20" t="n">
        <v>0</v>
      </c>
      <c r="R7" s="20" t="n">
        <v>0</v>
      </c>
      <c r="S7" s="20" t="n">
        <v>0</v>
      </c>
      <c r="T7" s="17">
        <f>SUM(P7:S7)</f>
        <v/>
      </c>
      <c r="U7" s="20" t="n">
        <v>0</v>
      </c>
      <c r="V7" s="20" t="n">
        <v>0</v>
      </c>
      <c r="W7" s="19">
        <f>O7-T7+IF(V7="",0,V7)</f>
        <v/>
      </c>
      <c r="X7" s="15" t="inlineStr"/>
    </row>
    <row r="8">
      <c r="A8" s="21" t="n">
        <v>4</v>
      </c>
      <c r="B8" s="21" t="inlineStr">
        <is>
          <t>EMP-037</t>
        </is>
      </c>
      <c r="C8" s="22" t="inlineStr">
        <is>
          <t>Reetu Sindal</t>
        </is>
      </c>
      <c r="D8" s="21" t="inlineStr">
        <is>
          <t>Ajmer</t>
        </is>
      </c>
      <c r="E8" s="23" t="n">
        <v>10000</v>
      </c>
      <c r="F8" s="21" t="n">
        <v>9</v>
      </c>
      <c r="G8" s="24">
        <f>E8/(31*F8)</f>
        <v/>
      </c>
      <c r="H8" s="24" t="n">
        <v>214.02</v>
      </c>
      <c r="I8" s="25" t="n">
        <v>0.09</v>
      </c>
      <c r="J8" s="24">
        <f>G8</f>
        <v/>
      </c>
      <c r="K8" s="24">
        <f>I8*J8</f>
        <v/>
      </c>
      <c r="L8" s="25" t="n">
        <v>36</v>
      </c>
      <c r="M8" s="25" t="n">
        <v>0</v>
      </c>
      <c r="N8" s="24">
        <f>H8+I8+L8+M8</f>
        <v/>
      </c>
      <c r="O8" s="26">
        <f>N8*G8</f>
        <v/>
      </c>
      <c r="P8" s="27" t="n">
        <v>0</v>
      </c>
      <c r="Q8" s="27" t="n">
        <v>0</v>
      </c>
      <c r="R8" s="27" t="n">
        <v>0</v>
      </c>
      <c r="S8" s="27" t="n">
        <v>0</v>
      </c>
      <c r="T8" s="24">
        <f>SUM(P8:S8)</f>
        <v/>
      </c>
      <c r="U8" s="27" t="n">
        <v>0</v>
      </c>
      <c r="V8" s="27" t="n">
        <v>0</v>
      </c>
      <c r="W8" s="26">
        <f>O8-T8+IF(V8="",0,V8)</f>
        <v/>
      </c>
      <c r="X8" s="22" t="inlineStr"/>
    </row>
    <row r="9">
      <c r="A9" s="14" t="n">
        <v>5</v>
      </c>
      <c r="B9" s="14" t="inlineStr">
        <is>
          <t>EMP-433</t>
        </is>
      </c>
      <c r="C9" s="15" t="inlineStr">
        <is>
          <t>Viram Singh</t>
        </is>
      </c>
      <c r="D9" s="14" t="inlineStr">
        <is>
          <t>Ajmer</t>
        </is>
      </c>
      <c r="E9" s="16" t="n">
        <v>17000</v>
      </c>
      <c r="F9" s="14" t="n">
        <v>10</v>
      </c>
      <c r="G9" s="17">
        <f>E9/(31*F9)</f>
        <v/>
      </c>
      <c r="H9" s="17" t="n">
        <v>257.13</v>
      </c>
      <c r="I9" s="18" t="n">
        <v>27.34</v>
      </c>
      <c r="J9" s="17">
        <f>G9</f>
        <v/>
      </c>
      <c r="K9" s="17">
        <f>I9*J9</f>
        <v/>
      </c>
      <c r="L9" s="18" t="n">
        <v>40</v>
      </c>
      <c r="M9" s="18" t="n">
        <v>0</v>
      </c>
      <c r="N9" s="17">
        <f>H9+I9+L9+M9</f>
        <v/>
      </c>
      <c r="O9" s="19">
        <f>N9*G9</f>
        <v/>
      </c>
      <c r="P9" s="20" t="n">
        <v>0</v>
      </c>
      <c r="Q9" s="20" t="n">
        <v>0</v>
      </c>
      <c r="R9" s="20" t="n">
        <v>0</v>
      </c>
      <c r="S9" s="20" t="n">
        <v>0</v>
      </c>
      <c r="T9" s="17">
        <f>SUM(P9:S9)</f>
        <v/>
      </c>
      <c r="U9" s="20" t="n">
        <v>0</v>
      </c>
      <c r="V9" s="20" t="n">
        <v>0</v>
      </c>
      <c r="W9" s="19">
        <f>O9-T9+IF(V9="",0,V9)</f>
        <v/>
      </c>
      <c r="X9" s="15" t="inlineStr"/>
    </row>
    <row r="10">
      <c r="A10" s="10" t="n"/>
      <c r="B10" s="10" t="n"/>
      <c r="C10" s="10" t="inlineStr">
        <is>
          <t>TOTAL</t>
        </is>
      </c>
      <c r="D10" s="10" t="n"/>
      <c r="E10" s="11">
        <f>SUM(E5:E9)</f>
        <v/>
      </c>
      <c r="F10" s="10" t="n"/>
      <c r="G10" s="10" t="n"/>
      <c r="H10" s="28">
        <f>SUM(H5:H9)</f>
        <v/>
      </c>
      <c r="I10" s="28">
        <f>SUM(I5:I9)</f>
        <v/>
      </c>
      <c r="J10" s="10" t="n"/>
      <c r="K10" s="28">
        <f>SUM(K5:K9)</f>
        <v/>
      </c>
      <c r="L10" s="28">
        <f>SUM(L5:L9)</f>
        <v/>
      </c>
      <c r="M10" s="10" t="n"/>
      <c r="N10" s="28">
        <f>SUM(N5:N9)</f>
        <v/>
      </c>
      <c r="O10" s="28">
        <f>SUM(O5:O9)</f>
        <v/>
      </c>
      <c r="P10" s="10" t="n"/>
      <c r="Q10" s="10" t="n"/>
      <c r="R10" s="10" t="n"/>
      <c r="S10" s="10" t="n"/>
      <c r="T10" s="28">
        <f>SUM(T5:T9)</f>
        <v/>
      </c>
      <c r="U10" s="10" t="n"/>
      <c r="V10" s="10" t="n"/>
      <c r="W10" s="28">
        <f>SUM(W5:W9)</f>
        <v/>
      </c>
      <c r="X10" s="10" t="n"/>
    </row>
  </sheetData>
  <mergeCells count="2">
    <mergeCell ref="A2:X2"/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9" customWidth="1" min="7" max="7"/>
    <col width="12" customWidth="1" min="8" max="8"/>
    <col width="9" customWidth="1" min="9" max="9"/>
    <col width="10" customWidth="1" min="10" max="10"/>
    <col width="11" customWidth="1" min="11" max="11"/>
    <col width="13" customWidth="1" min="12" max="12"/>
    <col width="9" customWidth="1" min="13" max="13"/>
    <col width="10" customWidth="1" min="14" max="14"/>
    <col width="14" customWidth="1" min="15" max="15"/>
    <col width="9" customWidth="1" min="16" max="16"/>
    <col width="10" customWidth="1" min="17" max="17"/>
    <col width="10" customWidth="1" min="18" max="18"/>
    <col width="13" customWidth="1" min="19" max="19"/>
    <col width="13" customWidth="1" min="20" max="20"/>
    <col width="13" customWidth="1" min="21" max="21"/>
    <col width="11" customWidth="1" min="22" max="22"/>
    <col width="14" customWidth="1" min="23" max="23"/>
    <col width="16" customWidth="1" min="24" max="24"/>
  </cols>
  <sheetData>
    <row r="1" ht="26" customHeight="1">
      <c r="A1" s="1" t="inlineStr">
        <is>
          <t>SI — Salary Sheet: July 2026</t>
        </is>
      </c>
    </row>
    <row r="2">
      <c r="A2" s="13" t="inlineStr">
        <is>
          <t>Salary Month: July 2026  |  Days in Month: 31  |  Sundays: 4  |  Holidays: 0  |  Working Days: 27  |  Employees: 6</t>
        </is>
      </c>
    </row>
    <row r="4" ht="42" customHeight="1">
      <c r="A4" s="3" t="inlineStr">
        <is>
          <t>S.No</t>
        </is>
      </c>
      <c r="B4" s="3" t="inlineStr">
        <is>
          <t>Emp Code</t>
        </is>
      </c>
      <c r="C4" s="3" t="inlineStr">
        <is>
          <t>Employee Name</t>
        </is>
      </c>
      <c r="D4" s="3" t="inlineStr">
        <is>
          <t>Location</t>
        </is>
      </c>
      <c r="E4" s="3" t="inlineStr">
        <is>
          <t>Monthly Salary (₹)</t>
        </is>
      </c>
      <c r="F4" s="3" t="inlineStr">
        <is>
          <t>Shift Hrs/Day</t>
        </is>
      </c>
      <c r="G4" s="3" t="inlineStr">
        <is>
          <t>Sl/Hr (₹)</t>
        </is>
      </c>
      <c r="H4" s="3" t="inlineStr">
        <is>
          <t>Worked Hrs including OT</t>
        </is>
      </c>
      <c r="I4" s="3" t="inlineStr">
        <is>
          <t>OT Hours</t>
        </is>
      </c>
      <c r="J4" s="3" t="inlineStr">
        <is>
          <t>OT Rate/Hr (₹)</t>
        </is>
      </c>
      <c r="K4" s="3" t="inlineStr">
        <is>
          <t>OT Amount (₹)</t>
        </is>
      </c>
      <c r="L4" s="3" t="inlineStr">
        <is>
          <t>Additional Hrs (Sundays)</t>
        </is>
      </c>
      <c r="M4" s="3" t="inlineStr">
        <is>
          <t>PH Hours</t>
        </is>
      </c>
      <c r="N4" s="3" t="inlineStr">
        <is>
          <t>Total Hrs</t>
        </is>
      </c>
      <c r="O4" s="3" t="inlineStr">
        <is>
          <t>Gross Salary (₹)</t>
        </is>
      </c>
      <c r="P4" s="3" t="inlineStr">
        <is>
          <t>TDS (₹)</t>
        </is>
      </c>
      <c r="Q4" s="3" t="inlineStr">
        <is>
          <t>Loan/Amt (₹)</t>
        </is>
      </c>
      <c r="R4" s="3" t="inlineStr">
        <is>
          <t>Advance (₹)</t>
        </is>
      </c>
      <c r="S4" s="3" t="inlineStr">
        <is>
          <t>Security Deposit (₹)</t>
        </is>
      </c>
      <c r="T4" s="3" t="inlineStr">
        <is>
          <t>Total Deductions (₹)</t>
        </is>
      </c>
      <c r="U4" s="3" t="inlineStr">
        <is>
          <t>Balance Loan Amt (₹)</t>
        </is>
      </c>
      <c r="V4" s="3" t="inlineStr">
        <is>
          <t>Arrear (₹)</t>
        </is>
      </c>
      <c r="W4" s="3" t="inlineStr">
        <is>
          <t>Net Salary (₹)</t>
        </is>
      </c>
      <c r="X4" s="3" t="inlineStr">
        <is>
          <t>Remarks</t>
        </is>
      </c>
    </row>
    <row r="5">
      <c r="A5" s="14" t="n">
        <v>1</v>
      </c>
      <c r="B5" s="14" t="inlineStr">
        <is>
          <t>EMP-014</t>
        </is>
      </c>
      <c r="C5" s="15" t="inlineStr">
        <is>
          <t>Anamika Tanwar</t>
        </is>
      </c>
      <c r="D5" s="14" t="inlineStr">
        <is>
          <t>Ajmer</t>
        </is>
      </c>
      <c r="E5" s="16" t="n">
        <v>14000</v>
      </c>
      <c r="F5" s="14" t="n">
        <v>9</v>
      </c>
      <c r="G5" s="17">
        <f>E5/(31*F5)</f>
        <v/>
      </c>
      <c r="H5" s="17" t="n">
        <v>222.97</v>
      </c>
      <c r="I5" s="18" t="n">
        <v>4.25</v>
      </c>
      <c r="J5" s="17">
        <f>G5</f>
        <v/>
      </c>
      <c r="K5" s="17">
        <f>I5*J5</f>
        <v/>
      </c>
      <c r="L5" s="18" t="n">
        <v>36</v>
      </c>
      <c r="M5" s="18" t="n">
        <v>0</v>
      </c>
      <c r="N5" s="17">
        <f>H5+I5+L5+M5</f>
        <v/>
      </c>
      <c r="O5" s="19">
        <f>N5*G5</f>
        <v/>
      </c>
      <c r="P5" s="20" t="n">
        <v>0</v>
      </c>
      <c r="Q5" s="20" t="n">
        <v>0</v>
      </c>
      <c r="R5" s="20" t="n">
        <v>0</v>
      </c>
      <c r="S5" s="20" t="n">
        <v>0</v>
      </c>
      <c r="T5" s="17">
        <f>SUM(P5:S5)</f>
        <v/>
      </c>
      <c r="U5" s="20" t="n">
        <v>0</v>
      </c>
      <c r="V5" s="20" t="n">
        <v>0</v>
      </c>
      <c r="W5" s="19">
        <f>O5-T5+IF(V5="",0,V5)</f>
        <v/>
      </c>
      <c r="X5" s="15" t="inlineStr"/>
    </row>
    <row r="6">
      <c r="A6" s="21" t="n">
        <v>2</v>
      </c>
      <c r="B6" s="21" t="inlineStr">
        <is>
          <t>EMP-501</t>
        </is>
      </c>
      <c r="C6" s="22" t="inlineStr">
        <is>
          <t>Arun Mathur</t>
        </is>
      </c>
      <c r="D6" s="21" t="inlineStr">
        <is>
          <t>Jaipur</t>
        </is>
      </c>
      <c r="E6" s="23" t="n">
        <v>50000</v>
      </c>
      <c r="F6" s="21" t="n">
        <v>9</v>
      </c>
      <c r="G6" s="24">
        <f>E6/(31*F6)</f>
        <v/>
      </c>
      <c r="H6" s="24" t="n">
        <v>198.47</v>
      </c>
      <c r="I6" s="25" t="n">
        <v>1.27</v>
      </c>
      <c r="J6" s="24">
        <f>G6</f>
        <v/>
      </c>
      <c r="K6" s="24">
        <f>I6*J6</f>
        <v/>
      </c>
      <c r="L6" s="25" t="n">
        <v>36</v>
      </c>
      <c r="M6" s="25" t="n">
        <v>0</v>
      </c>
      <c r="N6" s="24">
        <f>H6+I6+L6+M6</f>
        <v/>
      </c>
      <c r="O6" s="26">
        <f>N6*G6</f>
        <v/>
      </c>
      <c r="P6" s="27" t="n">
        <v>0</v>
      </c>
      <c r="Q6" s="27" t="n">
        <v>0</v>
      </c>
      <c r="R6" s="27" t="n">
        <v>0</v>
      </c>
      <c r="S6" s="27" t="n">
        <v>0</v>
      </c>
      <c r="T6" s="24">
        <f>SUM(P6:S6)</f>
        <v/>
      </c>
      <c r="U6" s="27" t="n">
        <v>0</v>
      </c>
      <c r="V6" s="27" t="n">
        <v>0</v>
      </c>
      <c r="W6" s="26">
        <f>O6-T6+IF(V6="",0,V6)</f>
        <v/>
      </c>
      <c r="X6" s="22" t="inlineStr"/>
    </row>
    <row r="7">
      <c r="A7" s="14" t="n">
        <v>3</v>
      </c>
      <c r="B7" s="14" t="inlineStr">
        <is>
          <t>EMP-026</t>
        </is>
      </c>
      <c r="C7" s="15" t="inlineStr">
        <is>
          <t>Mayank Agarwal</t>
        </is>
      </c>
      <c r="D7" s="14" t="inlineStr">
        <is>
          <t>Ajmer</t>
        </is>
      </c>
      <c r="E7" s="16" t="n">
        <v>10000</v>
      </c>
      <c r="F7" s="14" t="n">
        <v>1</v>
      </c>
      <c r="G7" s="17">
        <f>E7/(31*F7)</f>
        <v/>
      </c>
      <c r="H7" s="17" t="n">
        <v>21.13</v>
      </c>
      <c r="I7" s="18" t="n">
        <v>1.2</v>
      </c>
      <c r="J7" s="17">
        <f>G7</f>
        <v/>
      </c>
      <c r="K7" s="17">
        <f>I7*J7</f>
        <v/>
      </c>
      <c r="L7" s="18" t="n">
        <v>4</v>
      </c>
      <c r="M7" s="18" t="n">
        <v>0</v>
      </c>
      <c r="N7" s="17">
        <f>H7+I7+L7+M7</f>
        <v/>
      </c>
      <c r="O7" s="19">
        <f>N7*G7</f>
        <v/>
      </c>
      <c r="P7" s="20" t="n">
        <v>0</v>
      </c>
      <c r="Q7" s="20" t="n">
        <v>0</v>
      </c>
      <c r="R7" s="20" t="n">
        <v>0</v>
      </c>
      <c r="S7" s="20" t="n">
        <v>0</v>
      </c>
      <c r="T7" s="17">
        <f>SUM(P7:S7)</f>
        <v/>
      </c>
      <c r="U7" s="20" t="n">
        <v>0</v>
      </c>
      <c r="V7" s="20" t="n">
        <v>0</v>
      </c>
      <c r="W7" s="19">
        <f>O7-T7+IF(V7="",0,V7)</f>
        <v/>
      </c>
      <c r="X7" s="15" t="inlineStr"/>
    </row>
    <row r="8">
      <c r="A8" s="21" t="n">
        <v>4</v>
      </c>
      <c r="B8" s="21" t="inlineStr">
        <is>
          <t>EMP-504</t>
        </is>
      </c>
      <c r="C8" s="22" t="inlineStr">
        <is>
          <t>Priyanka Shukla</t>
        </is>
      </c>
      <c r="D8" s="21" t="inlineStr">
        <is>
          <t>Jaipur</t>
        </is>
      </c>
      <c r="E8" s="23" t="n">
        <v>18000</v>
      </c>
      <c r="F8" s="21" t="n">
        <v>9</v>
      </c>
      <c r="G8" s="24">
        <f>E8/(31*F8)</f>
        <v/>
      </c>
      <c r="H8" s="24" t="n">
        <v>207.75</v>
      </c>
      <c r="I8" s="25" t="n">
        <v>0</v>
      </c>
      <c r="J8" s="24">
        <f>G8</f>
        <v/>
      </c>
      <c r="K8" s="24">
        <f>I8*J8</f>
        <v/>
      </c>
      <c r="L8" s="25" t="n">
        <v>36</v>
      </c>
      <c r="M8" s="25" t="n">
        <v>0</v>
      </c>
      <c r="N8" s="24">
        <f>H8+I8+L8+M8</f>
        <v/>
      </c>
      <c r="O8" s="26">
        <f>N8*G8</f>
        <v/>
      </c>
      <c r="P8" s="27" t="n">
        <v>0</v>
      </c>
      <c r="Q8" s="27" t="n">
        <v>0</v>
      </c>
      <c r="R8" s="27" t="n">
        <v>0</v>
      </c>
      <c r="S8" s="27" t="n">
        <v>0</v>
      </c>
      <c r="T8" s="24">
        <f>SUM(P8:S8)</f>
        <v/>
      </c>
      <c r="U8" s="27" t="n">
        <v>0</v>
      </c>
      <c r="V8" s="27" t="n">
        <v>0</v>
      </c>
      <c r="W8" s="26">
        <f>O8-T8+IF(V8="",0,V8)</f>
        <v/>
      </c>
      <c r="X8" s="22" t="inlineStr"/>
    </row>
    <row r="9">
      <c r="A9" s="14" t="n">
        <v>5</v>
      </c>
      <c r="B9" s="14" t="inlineStr">
        <is>
          <t>EMP-033</t>
        </is>
      </c>
      <c r="C9" s="15" t="inlineStr">
        <is>
          <t>Radhika Mehra</t>
        </is>
      </c>
      <c r="D9" s="14" t="inlineStr">
        <is>
          <t>Ajmer</t>
        </is>
      </c>
      <c r="E9" s="16" t="n">
        <v>12000</v>
      </c>
      <c r="F9" s="14" t="n">
        <v>9</v>
      </c>
      <c r="G9" s="17">
        <f>E9/(31*F9)</f>
        <v/>
      </c>
      <c r="H9" s="17" t="n">
        <v>144.85</v>
      </c>
      <c r="I9" s="18" t="n">
        <v>3.29</v>
      </c>
      <c r="J9" s="17">
        <f>G9</f>
        <v/>
      </c>
      <c r="K9" s="17">
        <f>I9*J9</f>
        <v/>
      </c>
      <c r="L9" s="18" t="n">
        <v>36</v>
      </c>
      <c r="M9" s="18" t="n">
        <v>0</v>
      </c>
      <c r="N9" s="17">
        <f>H9+I9+L9+M9</f>
        <v/>
      </c>
      <c r="O9" s="19">
        <f>N9*G9</f>
        <v/>
      </c>
      <c r="P9" s="20" t="n">
        <v>0</v>
      </c>
      <c r="Q9" s="20" t="n">
        <v>0</v>
      </c>
      <c r="R9" s="20" t="n">
        <v>0</v>
      </c>
      <c r="S9" s="20" t="n">
        <v>0</v>
      </c>
      <c r="T9" s="17">
        <f>SUM(P9:S9)</f>
        <v/>
      </c>
      <c r="U9" s="20" t="n">
        <v>0</v>
      </c>
      <c r="V9" s="20" t="n">
        <v>0</v>
      </c>
      <c r="W9" s="19">
        <f>O9-T9+IF(V9="",0,V9)</f>
        <v/>
      </c>
      <c r="X9" s="15" t="inlineStr"/>
    </row>
    <row r="10">
      <c r="A10" s="21" t="n">
        <v>6</v>
      </c>
      <c r="B10" s="21" t="inlineStr">
        <is>
          <t>EMP-503</t>
        </is>
      </c>
      <c r="C10" s="22" t="inlineStr">
        <is>
          <t>Sachin Kumar</t>
        </is>
      </c>
      <c r="D10" s="21" t="inlineStr">
        <is>
          <t>Jaipur</t>
        </is>
      </c>
      <c r="E10" s="23" t="n">
        <v>13000</v>
      </c>
      <c r="F10" s="21" t="n">
        <v>9</v>
      </c>
      <c r="G10" s="24">
        <f>E10/(31*F10)</f>
        <v/>
      </c>
      <c r="H10" s="24" t="n">
        <v>107.82</v>
      </c>
      <c r="I10" s="25" t="n">
        <v>0.61</v>
      </c>
      <c r="J10" s="24">
        <f>G10</f>
        <v/>
      </c>
      <c r="K10" s="24">
        <f>I10*J10</f>
        <v/>
      </c>
      <c r="L10" s="25" t="n">
        <v>36</v>
      </c>
      <c r="M10" s="25" t="n">
        <v>0</v>
      </c>
      <c r="N10" s="24">
        <f>H10+I10+L10+M10</f>
        <v/>
      </c>
      <c r="O10" s="26">
        <f>N10*G10</f>
        <v/>
      </c>
      <c r="P10" s="27" t="n">
        <v>0</v>
      </c>
      <c r="Q10" s="27" t="n">
        <v>0</v>
      </c>
      <c r="R10" s="27" t="n">
        <v>0</v>
      </c>
      <c r="S10" s="27" t="n">
        <v>0</v>
      </c>
      <c r="T10" s="24">
        <f>SUM(P10:S10)</f>
        <v/>
      </c>
      <c r="U10" s="27" t="n">
        <v>0</v>
      </c>
      <c r="V10" s="27" t="n">
        <v>0</v>
      </c>
      <c r="W10" s="26">
        <f>O10-T10+IF(V10="",0,V10)</f>
        <v/>
      </c>
      <c r="X10" s="22" t="inlineStr"/>
    </row>
    <row r="11">
      <c r="A11" s="10" t="n"/>
      <c r="B11" s="10" t="n"/>
      <c r="C11" s="10" t="inlineStr">
        <is>
          <t>TOTAL</t>
        </is>
      </c>
      <c r="D11" s="10" t="n"/>
      <c r="E11" s="11">
        <f>SUM(E5:E10)</f>
        <v/>
      </c>
      <c r="F11" s="10" t="n"/>
      <c r="G11" s="10" t="n"/>
      <c r="H11" s="28">
        <f>SUM(H5:H10)</f>
        <v/>
      </c>
      <c r="I11" s="28">
        <f>SUM(I5:I10)</f>
        <v/>
      </c>
      <c r="J11" s="10" t="n"/>
      <c r="K11" s="28">
        <f>SUM(K5:K10)</f>
        <v/>
      </c>
      <c r="L11" s="28">
        <f>SUM(L5:L10)</f>
        <v/>
      </c>
      <c r="M11" s="10" t="n"/>
      <c r="N11" s="28">
        <f>SUM(N5:N10)</f>
        <v/>
      </c>
      <c r="O11" s="28">
        <f>SUM(O5:O10)</f>
        <v/>
      </c>
      <c r="P11" s="10" t="n"/>
      <c r="Q11" s="10" t="n"/>
      <c r="R11" s="10" t="n"/>
      <c r="S11" s="10" t="n"/>
      <c r="T11" s="28">
        <f>SUM(T5:T10)</f>
        <v/>
      </c>
      <c r="U11" s="10" t="n"/>
      <c r="V11" s="10" t="n"/>
      <c r="W11" s="28">
        <f>SUM(W5:W10)</f>
        <v/>
      </c>
      <c r="X11" s="10" t="n"/>
    </row>
  </sheetData>
  <mergeCells count="2"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2026-08-07T14:15:24Z</dcterms:created>
  <dcterms:modified xmlns:dcterms="http://purl.org/dc/terms/" xmlns:xsi="http://www.w3.org/2001/XMLSchema-instance" xsi:type="dcterms:W3CDTF">2026-08-07T14:15:24Z</dcterms:modified>
</cp:coreProperties>
</file>